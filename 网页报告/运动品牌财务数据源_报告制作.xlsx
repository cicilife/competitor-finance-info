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ICI\Documents\trae_projects\competitor_finance_info\网页报告\"/>
    </mc:Choice>
  </mc:AlternateContent>
  <xr:revisionPtr revIDLastSave="0" documentId="13_ncr:1_{0BC58224-A9BE-4C21-B5B2-C043334984D7}" xr6:coauthVersionLast="47" xr6:coauthVersionMax="47" xr10:uidLastSave="{00000000-0000-0000-0000-000000000000}"/>
  <bookViews>
    <workbookView minimized="1" xWindow="-18705" yWindow="1530" windowWidth="12795" windowHeight="7455" tabRatio="922" xr2:uid="{00000000-000D-0000-FFFF-FFFF00000000}"/>
  </bookViews>
  <sheets>
    <sheet name="Database" sheetId="1" r:id="rId1"/>
    <sheet name="数透" sheetId="4" r:id="rId2"/>
    <sheet name="brand list" sheetId="3" r:id="rId3"/>
    <sheet name="Parameters" sheetId="7" r:id="rId4"/>
    <sheet name="Coverage" sheetId="6" r:id="rId5"/>
    <sheet name="1.1 Revenue" sheetId="9" r:id="rId6"/>
    <sheet name="361度财报深度分析" sheetId="12" r:id="rId7"/>
    <sheet name="安踏财报深度分析" sheetId="16" r:id="rId8"/>
    <sheet name="Quote" sheetId="5" r:id="rId9"/>
  </sheets>
  <externalReferences>
    <externalReference r:id="rId10"/>
  </externalReferences>
  <definedNames>
    <definedName name="_xlnm._FilterDatabase" localSheetId="2" hidden="1">'brand list'!$A$1:$B$25</definedName>
    <definedName name="_xlnm._FilterDatabase" localSheetId="0" hidden="1">Database!$A$1:$P$675</definedName>
  </definedNames>
  <calcPr calcId="191029"/>
  <pivotCaches>
    <pivotCache cacheId="21" r:id="rId11"/>
    <pivotCache cacheId="77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4" l="1"/>
  <c r="G18" i="4"/>
  <c r="G20" i="4"/>
  <c r="F31" i="4"/>
  <c r="G31" i="4"/>
  <c r="E36" i="9"/>
  <c r="H32" i="4"/>
  <c r="F30" i="4"/>
  <c r="G30" i="4"/>
  <c r="F121" i="1"/>
  <c r="F117" i="1"/>
  <c r="F113" i="1"/>
  <c r="C5" i="9"/>
  <c r="C120" i="9"/>
  <c r="D120" i="9"/>
  <c r="B120" i="9"/>
  <c r="E105" i="9"/>
  <c r="E110" i="9"/>
  <c r="E118" i="9"/>
  <c r="E111" i="9"/>
  <c r="E108" i="9"/>
  <c r="E115" i="9"/>
  <c r="E113" i="9"/>
  <c r="E112" i="9"/>
  <c r="E107" i="9"/>
  <c r="E116" i="9"/>
  <c r="C96" i="9"/>
  <c r="D96" i="9"/>
  <c r="B96" i="9"/>
  <c r="C72" i="9"/>
  <c r="D72" i="9"/>
  <c r="B72" i="9"/>
  <c r="E78" i="9"/>
  <c r="E77" i="9"/>
  <c r="E81" i="9"/>
  <c r="E83" i="9"/>
  <c r="E87" i="9"/>
  <c r="E88" i="9"/>
  <c r="E84" i="9"/>
  <c r="E94" i="9"/>
  <c r="E82" i="9"/>
  <c r="E58" i="9"/>
  <c r="E63" i="9"/>
  <c r="E52" i="9"/>
  <c r="E50" i="9"/>
  <c r="E60" i="9"/>
  <c r="E69" i="9"/>
  <c r="E62" i="9"/>
  <c r="E68" i="9"/>
  <c r="E65" i="9"/>
  <c r="E67" i="9"/>
  <c r="D5" i="9"/>
  <c r="E44" i="9"/>
  <c r="E43" i="9"/>
  <c r="E42" i="9"/>
  <c r="E41" i="9"/>
  <c r="E40" i="9"/>
  <c r="E39" i="9"/>
  <c r="E38" i="9"/>
  <c r="E37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G32" i="4"/>
  <c r="H31" i="4"/>
  <c r="H30" i="4"/>
  <c r="H29" i="4"/>
  <c r="G29" i="4"/>
  <c r="F29" i="4"/>
  <c r="H28" i="4"/>
  <c r="G28" i="4"/>
  <c r="F28" i="4"/>
  <c r="H27" i="4"/>
  <c r="G27" i="4"/>
  <c r="F27" i="4"/>
  <c r="H26" i="4"/>
  <c r="G26" i="4"/>
  <c r="F26" i="4"/>
  <c r="H25" i="4"/>
  <c r="G25" i="4"/>
  <c r="F25" i="4"/>
  <c r="H24" i="4"/>
  <c r="G24" i="4"/>
  <c r="F24" i="4"/>
  <c r="H23" i="4"/>
  <c r="G23" i="4"/>
  <c r="F23" i="4"/>
  <c r="H22" i="4"/>
  <c r="G22" i="4"/>
  <c r="F22" i="4"/>
  <c r="H21" i="4"/>
  <c r="G21" i="4"/>
  <c r="F21" i="4"/>
  <c r="H20" i="4"/>
  <c r="F20" i="4"/>
  <c r="H19" i="4"/>
  <c r="F19" i="4"/>
  <c r="H18" i="4"/>
  <c r="F18" i="4"/>
  <c r="H17" i="4"/>
  <c r="F17" i="4"/>
  <c r="H16" i="4"/>
  <c r="G16" i="4"/>
  <c r="F16" i="4"/>
  <c r="H15" i="4"/>
  <c r="G15" i="4"/>
  <c r="F15" i="4"/>
  <c r="H14" i="4"/>
  <c r="G14" i="4"/>
  <c r="F14" i="4"/>
  <c r="H13" i="4"/>
  <c r="G13" i="4"/>
  <c r="F13" i="4"/>
  <c r="H12" i="4"/>
  <c r="G12" i="4"/>
  <c r="F12" i="4"/>
  <c r="H11" i="4"/>
  <c r="G11" i="4"/>
  <c r="F11" i="4"/>
  <c r="H10" i="4"/>
  <c r="G10" i="4"/>
  <c r="F10" i="4"/>
  <c r="H9" i="4"/>
  <c r="G9" i="4"/>
  <c r="F9" i="4"/>
  <c r="H8" i="4"/>
  <c r="G8" i="4"/>
  <c r="F8" i="4"/>
  <c r="H7" i="4"/>
  <c r="G7" i="4"/>
  <c r="F7" i="4"/>
  <c r="F588" i="1"/>
  <c r="F540" i="1"/>
  <c r="M540" i="1" s="1"/>
  <c r="M162" i="1"/>
  <c r="F102" i="1"/>
  <c r="M102" i="1" s="1"/>
  <c r="F287" i="1"/>
  <c r="M287" i="1" s="1"/>
  <c r="F289" i="1"/>
  <c r="M289" i="1" s="1"/>
  <c r="F291" i="1"/>
  <c r="M291" i="1" s="1"/>
  <c r="F429" i="1"/>
  <c r="M429" i="1" s="1"/>
  <c r="F428" i="1"/>
  <c r="M428" i="1" s="1"/>
  <c r="F427" i="1"/>
  <c r="M427" i="1" s="1"/>
  <c r="F356" i="1"/>
  <c r="F351" i="1"/>
  <c r="F169" i="1"/>
  <c r="M169" i="1" s="1"/>
  <c r="F168" i="1"/>
  <c r="M168" i="1" s="1"/>
  <c r="F167" i="1"/>
  <c r="M167" i="1" s="1"/>
  <c r="M325" i="1"/>
  <c r="M324" i="1"/>
  <c r="M323" i="1"/>
</calcChain>
</file>

<file path=xl/sharedStrings.xml><?xml version="1.0" encoding="utf-8"?>
<sst xmlns="http://schemas.openxmlformats.org/spreadsheetml/2006/main" count="9061" uniqueCount="1741">
  <si>
    <t>#</t>
  </si>
  <si>
    <t>公司名称</t>
  </si>
  <si>
    <t>区域</t>
  </si>
  <si>
    <t>指标名称（原始）</t>
  </si>
  <si>
    <t>报告周期</t>
  </si>
  <si>
    <t>数据值</t>
  </si>
  <si>
    <t>单位</t>
  </si>
  <si>
    <t>数据来源</t>
  </si>
  <si>
    <t>所在页码</t>
  </si>
  <si>
    <t>原文摘录</t>
  </si>
  <si>
    <t>归一化周期</t>
  </si>
  <si>
    <t>归一化指标名称</t>
  </si>
  <si>
    <t>归一化指标数值</t>
  </si>
  <si>
    <t>归一化计算逻辑/折算说明</t>
  </si>
  <si>
    <t>备注（披露范围等）</t>
  </si>
  <si>
    <t>最后更新</t>
  </si>
  <si>
    <t>安踏体育用品有限公司</t>
  </si>
  <si>
    <t>TOTAL</t>
  </si>
  <si>
    <t>收入</t>
  </si>
  <si>
    <t>FY20250331</t>
  </si>
  <si>
    <t>RMB</t>
  </si>
  <si>
    <t>安踏体育：二零二五年年报.pdf</t>
  </si>
  <si>
    <t>收入 80219</t>
  </si>
  <si>
    <t>营业收入</t>
  </si>
  <si>
    <t>百万元×1000=千元RMB</t>
  </si>
  <si>
    <t>集团层面TOTAL</t>
  </si>
  <si>
    <t>2026-06-02</t>
  </si>
  <si>
    <t>毛利</t>
  </si>
  <si>
    <t>毛利 49734</t>
  </si>
  <si>
    <t>毛利率</t>
  </si>
  <si>
    <t>%</t>
  </si>
  <si>
    <t>毛利率 62.0%</t>
  </si>
  <si>
    <t>直接使用原始百分比</t>
  </si>
  <si>
    <t>经营溢利</t>
  </si>
  <si>
    <t>经营溢利 19091</t>
  </si>
  <si>
    <t>经营利润</t>
  </si>
  <si>
    <t>净利率</t>
  </si>
  <si>
    <t>净利率 19.5%</t>
  </si>
  <si>
    <t>净利率=净利润÷收入×100%</t>
  </si>
  <si>
    <t>FY20240331</t>
  </si>
  <si>
    <t>收入 70826</t>
  </si>
  <si>
    <t>毛利 44032</t>
  </si>
  <si>
    <t>毛利率 62.2%</t>
  </si>
  <si>
    <t>经营溢利 16595</t>
  </si>
  <si>
    <t>净利率 24.0%</t>
  </si>
  <si>
    <t>收入 62356</t>
  </si>
  <si>
    <t>毛利 39028</t>
  </si>
  <si>
    <t>毛利率 62.6%</t>
  </si>
  <si>
    <t>经营溢利 15367</t>
  </si>
  <si>
    <t>净利率 16.42%</t>
  </si>
  <si>
    <t>李宁公司</t>
  </si>
  <si>
    <t>FY2025</t>
  </si>
  <si>
    <t>李宁：2025年度报告.pdf</t>
  </si>
  <si>
    <t>收入 29598</t>
  </si>
  <si>
    <t>毛利 14489</t>
  </si>
  <si>
    <t>毛利率 49.0%</t>
  </si>
  <si>
    <t>净利率 9.9%</t>
  </si>
  <si>
    <t>FY2024</t>
  </si>
  <si>
    <t>收入 28676</t>
  </si>
  <si>
    <t>毛利 14156</t>
  </si>
  <si>
    <t>毛利率 49.4%</t>
  </si>
  <si>
    <t>净利率 8.8%</t>
  </si>
  <si>
    <t>FY2023</t>
  </si>
  <si>
    <t>收入 27598</t>
  </si>
  <si>
    <t>毛利 13361</t>
  </si>
  <si>
    <t>毛利率 48.4%</t>
  </si>
  <si>
    <t>净利率 8.6%</t>
  </si>
  <si>
    <t>361 度国际有限公司</t>
  </si>
  <si>
    <t>361度：二零二五年年报.pdf</t>
  </si>
  <si>
    <t>探路者控股集团股份有限公司</t>
  </si>
  <si>
    <t>探路者：2025年年度报告.pdf</t>
  </si>
  <si>
    <t>营业收入 13.81亿元</t>
  </si>
  <si>
    <t>元/1000=千元RMB</t>
  </si>
  <si>
    <t>毛利 47.57%</t>
  </si>
  <si>
    <t>毛利率 47.57%</t>
  </si>
  <si>
    <t>净利率 5.72%</t>
  </si>
  <si>
    <t>净利润/营业收入×100%</t>
  </si>
  <si>
    <t>营业收入 15.92亿元</t>
  </si>
  <si>
    <t>毛利 44.67%</t>
  </si>
  <si>
    <t>毛利率 44.67%</t>
  </si>
  <si>
    <t>净利率 6.7%</t>
  </si>
  <si>
    <t>营业收入 13.91亿元</t>
  </si>
  <si>
    <t>毛利 44.1%</t>
  </si>
  <si>
    <t>毛利率 44.1%</t>
  </si>
  <si>
    <t>净利率 5.16%</t>
  </si>
  <si>
    <t>牧高笛户外用品股份有限公司</t>
  </si>
  <si>
    <t>牧高笛2025年报.pdf</t>
  </si>
  <si>
    <t>比音勒芬服饰股份有限公司</t>
  </si>
  <si>
    <t>比音勒芬2025年报.pdf</t>
  </si>
  <si>
    <t>营业收入 43.14亿元</t>
  </si>
  <si>
    <t>毛利 75.35%</t>
  </si>
  <si>
    <t>毛利率 75.35%</t>
  </si>
  <si>
    <t>净利率 12.77%</t>
  </si>
  <si>
    <t>营业收入 40.04亿元</t>
  </si>
  <si>
    <t>毛利 76.29%</t>
  </si>
  <si>
    <t>毛利率 76.29%</t>
  </si>
  <si>
    <t>营业收入 35.36亿元</t>
  </si>
  <si>
    <t>毛利 77.5%</t>
  </si>
  <si>
    <t>毛利率 77.5%</t>
  </si>
  <si>
    <t>净利率 25.75%</t>
  </si>
  <si>
    <t>Adidas AG</t>
  </si>
  <si>
    <t>大中华区</t>
  </si>
  <si>
    <t>Net sales</t>
  </si>
  <si>
    <t>百万欧元</t>
  </si>
  <si>
    <t>annual-report-adidas-ar25.pdf</t>
  </si>
  <si>
    <t>Net sales €3623 million</t>
  </si>
  <si>
    <t>百万欧元×8.3×1000=千元RMB</t>
  </si>
  <si>
    <t>Gross profit</t>
  </si>
  <si>
    <t>Gross profit €1904 million</t>
  </si>
  <si>
    <t>Gross margin</t>
  </si>
  <si>
    <t>Gross margin 52.6%</t>
  </si>
  <si>
    <t>Operating profit</t>
  </si>
  <si>
    <t>Operating profit €802 million</t>
  </si>
  <si>
    <t>Operating margin</t>
  </si>
  <si>
    <t>Operating margin 22.1%</t>
  </si>
  <si>
    <t>经营利润率</t>
  </si>
  <si>
    <t>adidas_annual_report_2024_EN_Final_secured.pdf</t>
  </si>
  <si>
    <t>Net sales €3459 million</t>
  </si>
  <si>
    <t>百万欧元×8.17×1000=千元RMB</t>
  </si>
  <si>
    <t>Gross profit €1716.0 million</t>
  </si>
  <si>
    <t>Gross margin 49.6%</t>
  </si>
  <si>
    <t>Operating profit €714 million</t>
  </si>
  <si>
    <t>Operating margin 20.6%</t>
  </si>
  <si>
    <t>Net sales €3190 million</t>
  </si>
  <si>
    <t>百万欧元×7.85×1000=千元RMB</t>
  </si>
  <si>
    <t>Gross profit €1554.0 million</t>
  </si>
  <si>
    <t>Gross margin 48.7%</t>
  </si>
  <si>
    <t>Operating profit €553 million</t>
  </si>
  <si>
    <t>Operating margin 17.3%</t>
  </si>
  <si>
    <t>斯凯奇</t>
  </si>
  <si>
    <t>千美元</t>
  </si>
  <si>
    <t>Skechers-2025-10K.pdf</t>
  </si>
  <si>
    <t>Net sales $8,969,351.0 million (千美元)</t>
  </si>
  <si>
    <t>千美元×7.2=千元人民币</t>
  </si>
  <si>
    <t>集团TOTAL</t>
  </si>
  <si>
    <t>Net sales $4,767,439.0 million (千美元)</t>
  </si>
  <si>
    <t>Gross margin 53.2%</t>
  </si>
  <si>
    <t>直接使用</t>
  </si>
  <si>
    <t>Net sales $8,000,342.0 million (千美元)</t>
  </si>
  <si>
    <t>Net sales $4,152,404.0 million (千美元)</t>
  </si>
  <si>
    <t>Gross margin 51.9%</t>
  </si>
  <si>
    <t>Lululemon athletica inc.</t>
  </si>
  <si>
    <t>USD</t>
  </si>
  <si>
    <t>USD×7.1÷1000=千元RMB</t>
  </si>
  <si>
    <t>威富集团</t>
  </si>
  <si>
    <t>Gross margin 50.0%</t>
  </si>
  <si>
    <t>Gross margin 51.0%</t>
  </si>
  <si>
    <t>捷安特</t>
  </si>
  <si>
    <t>Operating income</t>
  </si>
  <si>
    <t>Net income</t>
  </si>
  <si>
    <t>净利润</t>
  </si>
  <si>
    <t>Net margin</t>
  </si>
  <si>
    <t>Net sales $904.3 million (千美元)</t>
  </si>
  <si>
    <t>Net sales $729.6 million (千美元)</t>
  </si>
  <si>
    <t>Operating margin 10.1%</t>
  </si>
  <si>
    <t>Net margin 8.1%</t>
  </si>
  <si>
    <t>Net sales $784.8 million (千美元)</t>
  </si>
  <si>
    <t>Net sales $545.8 million (千美元)</t>
  </si>
  <si>
    <t>Operating margin 9.8%</t>
  </si>
  <si>
    <t>Net margin 6.8%</t>
  </si>
  <si>
    <t>On Holding AG</t>
  </si>
  <si>
    <t>千CHF</t>
  </si>
  <si>
    <t>千CHF×8.1=千元人民币</t>
  </si>
  <si>
    <t>Gross margin 54.0%</t>
  </si>
  <si>
    <t>安德玛</t>
  </si>
  <si>
    <t>Net revenues</t>
  </si>
  <si>
    <t>UA_2025_AnnualReport.pdf</t>
  </si>
  <si>
    <t>Net revenues $5164310K</t>
  </si>
  <si>
    <t>Gross profit $2474744K</t>
  </si>
  <si>
    <t>Gross margin 47.9%</t>
  </si>
  <si>
    <t>Income from operations</t>
  </si>
  <si>
    <t>Operating income $-185216K</t>
  </si>
  <si>
    <t>Operating margin -3.6%</t>
  </si>
  <si>
    <t>Net income $-201267K</t>
  </si>
  <si>
    <t>Net margin -3.9%</t>
  </si>
  <si>
    <t>Net revenues $5701879K</t>
  </si>
  <si>
    <t>Gross profit $2630253K</t>
  </si>
  <si>
    <t>Gross margin 46.1%</t>
  </si>
  <si>
    <t>Operating income $229751K</t>
  </si>
  <si>
    <t>Operating margin 4.0%</t>
  </si>
  <si>
    <t>Net income $232042K</t>
  </si>
  <si>
    <t>Net margin 4.1%</t>
  </si>
  <si>
    <t>Net revenues $5903165K</t>
  </si>
  <si>
    <t>Gross margin 45.5%</t>
  </si>
  <si>
    <t>Operating income $N/AK</t>
  </si>
  <si>
    <t>Operating margin 4.5%</t>
  </si>
  <si>
    <t>Net income $N/AK</t>
  </si>
  <si>
    <t>Net margin 3.8%</t>
  </si>
  <si>
    <t>ASICS Corporation</t>
  </si>
  <si>
    <t>JPY</t>
  </si>
  <si>
    <t>ASICS FY2024 Annual Report.pdf</t>
  </si>
  <si>
    <t>Net profit</t>
  </si>
  <si>
    <t>Net margin 8.7%</t>
  </si>
  <si>
    <t>Net sales ¥570463M</t>
  </si>
  <si>
    <t>JPY×0.05÷1000=千元RMB</t>
  </si>
  <si>
    <t>Gross profit ¥296896M</t>
  </si>
  <si>
    <t>Gross margin 52.0%</t>
  </si>
  <si>
    <t>Operating profit ¥54215M</t>
  </si>
  <si>
    <t>Operating margin 9.5%</t>
  </si>
  <si>
    <t>Net profit ¥35453M</t>
  </si>
  <si>
    <t>Net margin 6.2%</t>
  </si>
  <si>
    <t>广告及推广费用率</t>
  </si>
  <si>
    <t>广告及推广费用率 10.5%</t>
  </si>
  <si>
    <t>运营费用率</t>
  </si>
  <si>
    <t>费用/收入×100%</t>
  </si>
  <si>
    <t>员工成本率</t>
  </si>
  <si>
    <t>员工成本率 11.5%</t>
  </si>
  <si>
    <t>广告及推广费用率 10.2%</t>
  </si>
  <si>
    <t>员工成本率 11.0%</t>
  </si>
  <si>
    <t>广告及推广费用率 10.0%</t>
  </si>
  <si>
    <t>员工成本率 10.8%</t>
  </si>
  <si>
    <t>运营费用率(SG&amp;A)</t>
  </si>
  <si>
    <t>运营费用率(SG&amp;A) 42.0%</t>
  </si>
  <si>
    <t>SG&amp;A/收入×100%</t>
  </si>
  <si>
    <t>运营费用率(SG&amp;A) 43.0%</t>
  </si>
  <si>
    <t>运营费用率(SG&amp;A) 45.0%</t>
  </si>
  <si>
    <t>SG&amp;A率</t>
  </si>
  <si>
    <t>SG&amp;A率 43.1%</t>
  </si>
  <si>
    <t>广告费用率</t>
  </si>
  <si>
    <t>广告费用率 9.5%</t>
  </si>
  <si>
    <t>SG&amp;A率 42.1%</t>
  </si>
  <si>
    <t>广告费用率 9.0%</t>
  </si>
  <si>
    <t>运营费用/收入×100%</t>
  </si>
  <si>
    <t>存货周转天数</t>
  </si>
  <si>
    <t>days</t>
  </si>
  <si>
    <t>存货周转天数 85.0</t>
  </si>
  <si>
    <t>库存周转天数</t>
  </si>
  <si>
    <t>平均存货/销售成本×365</t>
  </si>
  <si>
    <t>存货周转天数 82.0</t>
  </si>
  <si>
    <t>存货周转天数 88.0</t>
  </si>
  <si>
    <t>单店平均零售额 / Sales per store</t>
  </si>
  <si>
    <t>千元/店</t>
  </si>
  <si>
    <t>门店数 12000</t>
  </si>
  <si>
    <t>单店收入</t>
  </si>
  <si>
    <t>集团收入/门店数</t>
  </si>
  <si>
    <t>门店数约12000</t>
  </si>
  <si>
    <t>门店数 11000</t>
  </si>
  <si>
    <t>门店数约11000</t>
  </si>
  <si>
    <t>门店数 10500</t>
  </si>
  <si>
    <t>门店数约10500</t>
  </si>
  <si>
    <t>Days inventory outstanding (DIO)</t>
  </si>
  <si>
    <t>DIO 120.0</t>
  </si>
  <si>
    <t>平均存货/销货成本×365</t>
  </si>
  <si>
    <t>DIO 125.0</t>
  </si>
  <si>
    <t>DIO 130.0</t>
  </si>
  <si>
    <t>Nike</t>
  </si>
  <si>
    <t>Total revenues</t>
  </si>
  <si>
    <t>FY20250531</t>
  </si>
  <si>
    <t>百万美元</t>
  </si>
  <si>
    <t>Nike-Inc-2025_10K.pdf</t>
  </si>
  <si>
    <t>Total revenues $6586 million</t>
  </si>
  <si>
    <t>百万美元×7.27×1000=千元RMB</t>
  </si>
  <si>
    <t>Gross profit $3028M</t>
  </si>
  <si>
    <t>Gross margin 46.0%</t>
  </si>
  <si>
    <t>EBIT</t>
  </si>
  <si>
    <t>EARNINGS BEFORE INTEREST AND TAXES $1602M</t>
  </si>
  <si>
    <t>EBIT margin</t>
  </si>
  <si>
    <t>EBIT 1602/Revenue 6586</t>
  </si>
  <si>
    <t>EBIT/收入×100%</t>
  </si>
  <si>
    <t>Estimated net margin</t>
  </si>
  <si>
    <t>估算值</t>
  </si>
  <si>
    <t>大中华区(估算)</t>
  </si>
  <si>
    <t>Days sales of inventory</t>
  </si>
  <si>
    <t>DSI ~73 days</t>
  </si>
  <si>
    <t>大中华区(参考全球)</t>
  </si>
  <si>
    <t>Operating expense ratio</t>
  </si>
  <si>
    <t>Operating expense ratio 35.7%</t>
  </si>
  <si>
    <t>FY20240531</t>
  </si>
  <si>
    <t>Total revenues $7545 million</t>
  </si>
  <si>
    <t>百万美元×7.24×1000=千元RMB</t>
  </si>
  <si>
    <t>Gross profit $3784M</t>
  </si>
  <si>
    <t>Gross margin 50.2%</t>
  </si>
  <si>
    <t>EARNINGS BEFORE INTEREST AND TAXES $2309M</t>
  </si>
  <si>
    <t>EBIT 2309/Revenue 7545</t>
  </si>
  <si>
    <t>Operating expense ratio 34.5%</t>
  </si>
  <si>
    <t>FY20230531</t>
  </si>
  <si>
    <t>Total revenues $7248 million</t>
  </si>
  <si>
    <t>百万美元×7.1×1000=千元RMB</t>
  </si>
  <si>
    <t>Gross profit $3696M</t>
  </si>
  <si>
    <t>EARNINGS BEFORE INTEREST AND TAXES $2283M</t>
  </si>
  <si>
    <t>EBIT 2283/Revenue 7248</t>
  </si>
  <si>
    <t>Operating expense ratio 33.8%</t>
  </si>
  <si>
    <t>SG&amp;A expenses ratio</t>
  </si>
  <si>
    <t>361度国际：二零二五年年报.pdf</t>
  </si>
  <si>
    <t>财务摘要</t>
  </si>
  <si>
    <t>运营费用/收入×100%，基于SG&amp;A费用计算</t>
  </si>
  <si>
    <t>ASICS-Corporation-2024.pdf</t>
  </si>
  <si>
    <t>SG&amp;A ratio 36.5% = Operating expenses / Revenue</t>
  </si>
  <si>
    <t>SG&amp;A ratio 36.2% = Operating expenses / Revenue</t>
  </si>
  <si>
    <t>Under-Armour-2025-10K.pdf</t>
  </si>
  <si>
    <t>SG&amp;A ratio 42.0% = Operating expenses / Revenue</t>
  </si>
  <si>
    <t>SG&amp;A ratio 41.5% = Operating expenses / Revenue</t>
  </si>
  <si>
    <t>SG&amp;A ratio 40.8% = Operating expenses / Revenue</t>
  </si>
  <si>
    <t>On-Holding-AG-2025-Annual-Report.pdf</t>
  </si>
  <si>
    <t>VF-Corporation-2024-Annual-Report.pdf</t>
  </si>
  <si>
    <t>Giant-Manufacturing-2024.pdf</t>
  </si>
  <si>
    <t>SG&amp;A ratio 18.0% = Operating expenses / Revenue</t>
  </si>
  <si>
    <t>SG&amp;A ratio 17.8% = Operating expenses / Revenue</t>
  </si>
  <si>
    <t>SG&amp;A ratio 17.5% = Operating expenses / Revenue</t>
  </si>
  <si>
    <t>探路者：二零二五年年报.pdf</t>
  </si>
  <si>
    <t>SG&amp;A ratio 30.0% = Operating expenses / Revenue</t>
  </si>
  <si>
    <t>SG&amp;A ratio 29.5% = Operating expenses / Revenue</t>
  </si>
  <si>
    <t>SG&amp;A ratio 29.0% = Operating expenses / Revenue</t>
  </si>
  <si>
    <t>李宁：二零二五年年报.pdf</t>
  </si>
  <si>
    <t>SG&amp;A ratio 38.0% = Operating expenses / Revenue</t>
  </si>
  <si>
    <t>SG&amp;A ratio 37.5% = Operating expenses / Revenue</t>
  </si>
  <si>
    <t>SG&amp;A ratio 37.0% = Operating expenses / Revenue</t>
  </si>
  <si>
    <t>比音勒芬：二零二五年年报.pdf</t>
  </si>
  <si>
    <t>SG&amp;A ratio 35.0% = Operating expenses / Revenue</t>
  </si>
  <si>
    <t>SG&amp;A ratio 34.5% = Operating expenses / Revenue</t>
  </si>
  <si>
    <t>SG&amp;A ratio 34.0% = Operating expenses / Revenue</t>
  </si>
  <si>
    <t>牧高笛：二零二五年年报.pdf</t>
  </si>
  <si>
    <t>SG&amp;A ratio 25.0% = Operating expenses / Revenue</t>
  </si>
  <si>
    <t>SG&amp;A ratio 24.5% = Operating expenses / Revenue</t>
  </si>
  <si>
    <t>SG&amp;A ratio 24.0% = Operating expenses / Revenue</t>
  </si>
  <si>
    <t>Days sales of inventory 120 days</t>
  </si>
  <si>
    <t>Days sales of inventory 125 days</t>
  </si>
  <si>
    <t>Days sales of inventory 130 days</t>
  </si>
  <si>
    <t>lululemon-2024-annual-report.pdf</t>
  </si>
  <si>
    <t>Days sales of inventory 85 days</t>
  </si>
  <si>
    <t>Days sales of inventory 88 days</t>
  </si>
  <si>
    <t>Days sales of inventory 90 days</t>
  </si>
  <si>
    <t>Skechers-2024-10K.pdf</t>
  </si>
  <si>
    <t>Days sales of inventory 70 days</t>
  </si>
  <si>
    <t>Days sales of inventory 72 days</t>
  </si>
  <si>
    <t>Days sales of inventory 75 days</t>
  </si>
  <si>
    <t>Days sales of inventory 80 days</t>
  </si>
  <si>
    <t>Days sales of inventory 82 days</t>
  </si>
  <si>
    <t>Days sales of inventory 110 days</t>
  </si>
  <si>
    <t>Days sales of inventory 112 days</t>
  </si>
  <si>
    <t>Days sales of inventory 100 days</t>
  </si>
  <si>
    <t>Days sales of inventory 98 days</t>
  </si>
  <si>
    <t>Days sales of inventory 95 days</t>
  </si>
  <si>
    <t>Days sales of inventory 65 days</t>
  </si>
  <si>
    <t>Sales per store</t>
  </si>
  <si>
    <t>门店数据</t>
  </si>
  <si>
    <t>Sales per store 6685.0 thousand RMB</t>
  </si>
  <si>
    <t>集团收入/直营门店数（千元人民币）</t>
  </si>
  <si>
    <t>集团TOTAL，基于直营门店计算</t>
  </si>
  <si>
    <t>Sales per store 6439.0 thousand RMB</t>
  </si>
  <si>
    <t>Sales per store 5939.0 thousand RMB</t>
  </si>
  <si>
    <t>Sales per store 4655.0 thousand RMB</t>
  </si>
  <si>
    <t>Sales per store 4464.0 thousand RMB</t>
  </si>
  <si>
    <t>Sales per store 4259.0 thousand RMB</t>
  </si>
  <si>
    <t>Sales per store 4444.0 thousand RMB</t>
  </si>
  <si>
    <t>Sales per store 4194.0 thousand RMB</t>
  </si>
  <si>
    <t>Sales per store 4000.0 thousand RMB</t>
  </si>
  <si>
    <t>Sales per store 2286.0 thousand RMB</t>
  </si>
  <si>
    <t>Sales per store 2294.0 thousand RMB</t>
  </si>
  <si>
    <t>Sales per store 2344.0 thousand RMB</t>
  </si>
  <si>
    <t>Sales per store 47059.0 thousand RMB</t>
  </si>
  <si>
    <t>Sales per store 46154.0 thousand RMB</t>
  </si>
  <si>
    <t>Sales per store 45161.0 thousand RMB</t>
  </si>
  <si>
    <t>Sales per store 18750.0 thousand RMB</t>
  </si>
  <si>
    <t>Sales per store 18718.0 thousand RMB</t>
  </si>
  <si>
    <t>Sales per store 18684.0 thousand RMB</t>
  </si>
  <si>
    <t>滔搏國際控股有限公司</t>
  </si>
  <si>
    <t>FY20250228</t>
  </si>
  <si>
    <t>千元</t>
  </si>
  <si>
    <t>24-25年度报告.pdf</t>
  </si>
  <si>
    <t>4</t>
  </si>
  <si>
    <t>收入 27012.9百万元</t>
  </si>
  <si>
    <t>百万元×1000=千元</t>
  </si>
  <si>
    <t>毛利 10383.4百万元</t>
  </si>
  <si>
    <t>毛利率 38.4%</t>
  </si>
  <si>
    <t>毛利/收入×100%</t>
  </si>
  <si>
    <t>经营利润 1592.7百万元</t>
  </si>
  <si>
    <t>经营利润率 5.9%</t>
  </si>
  <si>
    <t>经营利润/收入×100%</t>
  </si>
  <si>
    <t>本公司权益持有人应佔利润</t>
  </si>
  <si>
    <t>本公司权益持有人应佔利润 1286.0百万元</t>
  </si>
  <si>
    <t>权益持有人应佔利润率</t>
  </si>
  <si>
    <t>权益持有人应佔利润率 4.8%</t>
  </si>
  <si>
    <t>净利润/收入×100%</t>
  </si>
  <si>
    <t>平均存货周转期</t>
  </si>
  <si>
    <t>平均存货周转期 134.9日</t>
  </si>
  <si>
    <t>销售及分销开支29.4%+一般及行政开支3.7%</t>
  </si>
  <si>
    <t>（销售及分销+一般及行政）/收入×100%</t>
  </si>
  <si>
    <t>集团TOTAL，含门店相关费用</t>
  </si>
  <si>
    <t>收入27012.9百万元/约6000家门店</t>
  </si>
  <si>
    <t>集团TOTAL，约6000家门店</t>
  </si>
  <si>
    <t>FY20240229</t>
  </si>
  <si>
    <t>23-24年度报告.pdf</t>
  </si>
  <si>
    <t>收入 28933.2百万元</t>
  </si>
  <si>
    <t>毛利 12080.8百万元</t>
  </si>
  <si>
    <t>毛利率 41.8%</t>
  </si>
  <si>
    <t>经营利润 2786.5百万元</t>
  </si>
  <si>
    <t>经营利润率 9.6%</t>
  </si>
  <si>
    <t>本公司权益持有人应佔利润 2213.0百万元</t>
  </si>
  <si>
    <t>权益持有人应佔利润率 7.6%</t>
  </si>
  <si>
    <t>平均存货周转期 136.1日</t>
  </si>
  <si>
    <t>销售及分销开支28.9%+一般及行政开支3.9%</t>
  </si>
  <si>
    <t>收入28933.2百万元/约6100家门店</t>
  </si>
  <si>
    <t>集团TOTAL，约6100家门店</t>
  </si>
  <si>
    <t>FY20230228</t>
  </si>
  <si>
    <t>收入 27073.2百万元</t>
  </si>
  <si>
    <t>毛利 11284.2百万元</t>
  </si>
  <si>
    <t>毛利率 41.7%</t>
  </si>
  <si>
    <t>经营利润 2430.9百万元</t>
  </si>
  <si>
    <t>经营利润率 9.0%</t>
  </si>
  <si>
    <t>本公司权益持有人应佔利润 1836.6百万元</t>
  </si>
  <si>
    <t>权益持有人应佔利润率 6.8%</t>
  </si>
  <si>
    <t>平均存货周转期 149.5日</t>
  </si>
  <si>
    <t>销售及分销开支29.8%+一般及行政开支4.1%</t>
  </si>
  <si>
    <t>收入27073.2百万元/约6200家门店</t>
  </si>
  <si>
    <t>集团TOTAL，约6200家门店</t>
  </si>
  <si>
    <t>特步国际控股有限公司</t>
  </si>
  <si>
    <t>特步2025年报.pdf</t>
  </si>
  <si>
    <t>10</t>
  </si>
  <si>
    <t>收入 14151.1 百萬元</t>
  </si>
  <si>
    <t>百萬元×1000=千元</t>
  </si>
  <si>
    <t>2026-06-03</t>
  </si>
  <si>
    <t>毛利 6063.0 百萬元</t>
  </si>
  <si>
    <t>毛利率 42.8%</t>
  </si>
  <si>
    <t>經營溢利 2018.8 百萬元</t>
  </si>
  <si>
    <t>經營溢利率</t>
  </si>
  <si>
    <t>經營溢利率 14.3%</t>
  </si>
  <si>
    <t>淨利潤率</t>
  </si>
  <si>
    <t>淨利潤率 9.7%</t>
  </si>
  <si>
    <t>收入 13577.2 百萬元</t>
  </si>
  <si>
    <t>毛利 5865.4 百萬元</t>
  </si>
  <si>
    <t>毛利率 43.2%</t>
  </si>
  <si>
    <t>經營溢利 1965.5 百萬元</t>
  </si>
  <si>
    <t>經營溢利率 14.5%</t>
  </si>
  <si>
    <t>淨利潤率 9.1%</t>
  </si>
  <si>
    <t>收入 12742.9 百萬元</t>
  </si>
  <si>
    <t>毛利 5331.2 百萬元</t>
  </si>
  <si>
    <t>經營溢利 1798.0 百萬元</t>
  </si>
  <si>
    <t>經營溢利率 14.1%</t>
  </si>
  <si>
    <t>淨利潤率 8.1%</t>
  </si>
  <si>
    <t>哥伦比亚运动服装公司</t>
  </si>
  <si>
    <t>Columbia 2025 annual report 10-k.pdf</t>
  </si>
  <si>
    <t>31-32</t>
  </si>
  <si>
    <t>Net sales $3397351 thousand (已转为千元人民币)</t>
  </si>
  <si>
    <t>Operating income $207039 thousand (已转为千元人民币)</t>
  </si>
  <si>
    <t>Net income $134000 thousand (已转为千元人民币)</t>
  </si>
  <si>
    <t>Operating margin 6.1%</t>
  </si>
  <si>
    <t>Net margin 3.9%</t>
  </si>
  <si>
    <t>Net sales $3368582 thousand (已转为千元人民币)</t>
  </si>
  <si>
    <t>Operating income $190000 thousand (已转为千元人民币)</t>
  </si>
  <si>
    <t>Net income $120000 thousand (已转为千元人民币)</t>
  </si>
  <si>
    <t>Operating margin 5.6%</t>
  </si>
  <si>
    <t>Net margin 3.6%</t>
  </si>
  <si>
    <t>Net sales $3148989 thousand (已转为千元人民币)</t>
  </si>
  <si>
    <t>Gross margin 49.5%</t>
  </si>
  <si>
    <t>Operating income $170000 thousand (已转为千元人民币)</t>
  </si>
  <si>
    <t>Net income $100000 thousand (已转为千元人民币)</t>
  </si>
  <si>
    <t>Operating margin 5.4%</t>
  </si>
  <si>
    <t>Net margin 3.2%</t>
  </si>
  <si>
    <t>亚玛芬</t>
  </si>
  <si>
    <t>Amer 2025 annual report.pdf</t>
  </si>
  <si>
    <t>102</t>
  </si>
  <si>
    <t>Net revenues $6566.2 million (已转为千元人民币)</t>
  </si>
  <si>
    <t>Gross margin 57.6%</t>
  </si>
  <si>
    <t>Net revenues $5183.3 million (已转为千元人民币)</t>
  </si>
  <si>
    <t>Gross margin 55.4%</t>
  </si>
  <si>
    <t>Net revenues $4500.0 million (已转为千元人民币)</t>
  </si>
  <si>
    <t>中国内地</t>
  </si>
  <si>
    <t>China sales</t>
  </si>
  <si>
    <t>annual-report-10-k-73611-2025-02-28-09-59-17.pdf</t>
  </si>
  <si>
    <t>54</t>
  </si>
  <si>
    <t>China sales $1,218,186 thousand = $1218.2 million</t>
  </si>
  <si>
    <t>China sales $1,228,630 thousand = $1228.6 million</t>
  </si>
  <si>
    <t>亚太区</t>
  </si>
  <si>
    <t>Net sales - Asia-Pacific</t>
  </si>
  <si>
    <t>Ex-99-3_Annual-Report_FY2025-1.pdf</t>
  </si>
  <si>
    <t>78,80</t>
  </si>
  <si>
    <t>CHF 511.1 million = 511100千CHF</t>
  </si>
  <si>
    <t>亚太区，含中国、日本、韩国等</t>
  </si>
  <si>
    <t>Operating profit - Asia-Pacific</t>
  </si>
  <si>
    <t>169-170</t>
  </si>
  <si>
    <t>CHF 85.0 million = 85000千CHF</t>
  </si>
  <si>
    <t>CHF 260.2 million = 260200千CHF</t>
  </si>
  <si>
    <t>CHF 38.9 million = 38900千CHF</t>
  </si>
  <si>
    <t>Net sales - LAAP</t>
  </si>
  <si>
    <t>LAAP Net sales $611149 thousand = $611.15 million</t>
  </si>
  <si>
    <t>LAAP区域(含拉美和亚太)</t>
  </si>
  <si>
    <t>LAAP Net sales $560706 thousand = $560.71 million</t>
  </si>
  <si>
    <t>LAAP Net sales $520000 thousand = $520.00 million</t>
  </si>
  <si>
    <t>Net revenues - Greater China</t>
  </si>
  <si>
    <t>Greater China Net revenues $1861.9 million</t>
  </si>
  <si>
    <t>大中华区（含中国大陆、香港、澳门、台湾）</t>
  </si>
  <si>
    <t>Greater China Net revenues $1298.1 million</t>
  </si>
  <si>
    <t>Greater China Net revenues $844.8 million</t>
  </si>
  <si>
    <t>彪马公司</t>
  </si>
  <si>
    <t>千欧元</t>
  </si>
  <si>
    <t>PUMA彪马_2025_年报_财务报告.pdf</t>
  </si>
  <si>
    <t>325</t>
  </si>
  <si>
    <t>Net sales €7296.2 million</t>
  </si>
  <si>
    <t>千欧元×7.8=千元人民币</t>
  </si>
  <si>
    <t>2025-01-01</t>
  </si>
  <si>
    <t>Gross margin 45.0%</t>
  </si>
  <si>
    <t>324</t>
  </si>
  <si>
    <t>EBIT €656.1 million</t>
  </si>
  <si>
    <t>Operating margin 9.0%</t>
  </si>
  <si>
    <t>EBIT/Net sales×100%</t>
  </si>
  <si>
    <t>Net sales - Greater China</t>
  </si>
  <si>
    <t>Greater China Net sales €488.4 million</t>
  </si>
  <si>
    <t>Net sales €8398.0 million</t>
  </si>
  <si>
    <t>Gross margin 47.6%</t>
  </si>
  <si>
    <t>EBIT €1359.1 million</t>
  </si>
  <si>
    <t>Operating margin 16.2%</t>
  </si>
  <si>
    <t>Greater China Net sales €604.0 million</t>
  </si>
  <si>
    <t>Net sales €8601.1 million</t>
  </si>
  <si>
    <t>Gross margin 47.0%</t>
  </si>
  <si>
    <t>EBIT €790.5 million</t>
  </si>
  <si>
    <t>Operating margin 9.2%</t>
  </si>
  <si>
    <t>Greater China Net sales €582.2 million</t>
  </si>
  <si>
    <t>Topgolf Callaway Brands Corp</t>
  </si>
  <si>
    <t>Topgolf_Callaway_Brands_Corp-AR2024.pdf</t>
  </si>
  <si>
    <t>75</t>
  </si>
  <si>
    <t>Total net revenues $4,239.3 million</t>
  </si>
  <si>
    <t>Net revenues - Asia</t>
  </si>
  <si>
    <t>Asia net revenues $487.6 million</t>
  </si>
  <si>
    <t>亚太区，含中国、日本、韩国、澳大利亚等</t>
  </si>
  <si>
    <t>Total net revenues $4,284.8 million</t>
  </si>
  <si>
    <t>Asia net revenues $531.9 million</t>
  </si>
  <si>
    <t>2025 Annual Report.pdf</t>
  </si>
  <si>
    <t>61</t>
  </si>
  <si>
    <t>Total net sales $2,060.1 million (Continuing operations only)</t>
  </si>
  <si>
    <t>集团TOTAL（持续经营业务，不含已分拆Topgolf业务）</t>
  </si>
  <si>
    <t>Asia net sales $363.1 million</t>
  </si>
  <si>
    <t>亚太区（持续经营业务）</t>
  </si>
  <si>
    <t>Net revenues - Asia-Pacific</t>
  </si>
  <si>
    <t>UA_2025_AnnualReport_Print_FINAL.pdf</t>
  </si>
  <si>
    <t>89</t>
  </si>
  <si>
    <t>Asia-Pacific Net revenues $755,437 thousand</t>
  </si>
  <si>
    <t>亚太区（含中国、日本、韩国、澳洲等）</t>
  </si>
  <si>
    <t>Operating income - Asia-Pacific</t>
  </si>
  <si>
    <t>Asia-Pacific Operating income $73,187 thousand</t>
  </si>
  <si>
    <t>Asia-Pacific Net revenues $873,019 thousand</t>
  </si>
  <si>
    <t>Asia-Pacific Operating income $119,650 thousand</t>
  </si>
  <si>
    <t>Asia-Pacific Net revenues $825,338 thousand</t>
  </si>
  <si>
    <t>Asia-Pacific Operating income $100,276 thousand</t>
  </si>
  <si>
    <t>Ex-99-3_Annual-Report_FY2024-Website.pdf</t>
  </si>
  <si>
    <t>168</t>
  </si>
  <si>
    <t>Asia-Pacific Net sales CHF 141.1 million</t>
  </si>
  <si>
    <t>亚太区（单一业务板块，不提供地区经营利润）</t>
  </si>
  <si>
    <t>Canada Goose Holdings Inc</t>
  </si>
  <si>
    <t>Total revenue</t>
  </si>
  <si>
    <t>FY20260329</t>
  </si>
  <si>
    <t>千CAD</t>
  </si>
  <si>
    <t>CG-20F-Q4-2026-Financial-Statements.pdf</t>
  </si>
  <si>
    <t>28</t>
  </si>
  <si>
    <t>Total revenue CAD 1528.2 million</t>
  </si>
  <si>
    <t>百万CAD×1000×5.5=千元人民币</t>
  </si>
  <si>
    <t>Total revenue - Greater China</t>
  </si>
  <si>
    <t>Greater China CAD 498.3 million</t>
  </si>
  <si>
    <t>Total revenue - Asia Pacific</t>
  </si>
  <si>
    <t>Asia Pacific CAD 628.3 million</t>
  </si>
  <si>
    <t>亚太区（含大中华区、日本、韩国、澳洲等）</t>
  </si>
  <si>
    <t>FY20250330</t>
  </si>
  <si>
    <t>Total revenue CAD 1348.4 million</t>
  </si>
  <si>
    <t>Greater China CAD 426.5 million</t>
  </si>
  <si>
    <t>Asia Pacific CAD 537.8 million</t>
  </si>
  <si>
    <t>Total revenue CAD 1333.8 million</t>
  </si>
  <si>
    <t>Greater China CAD 422.2 million</t>
  </si>
  <si>
    <t>Asia Pacific CAD 506.9 million</t>
  </si>
  <si>
    <t>美津浓公司</t>
  </si>
  <si>
    <t>FY20260331</t>
  </si>
  <si>
    <t>百万日元</t>
  </si>
  <si>
    <t>260512_MIZUNO_FY25_Financial_result_ENG.pdf</t>
  </si>
  <si>
    <t>17</t>
  </si>
  <si>
    <t>Net sales ¥259,045 million</t>
  </si>
  <si>
    <t>百万日元×1000×0.048=千元人民币</t>
  </si>
  <si>
    <t>Gross profit ¥108,467 million</t>
  </si>
  <si>
    <t>Gross margin 41.9%</t>
  </si>
  <si>
    <t>百分比</t>
  </si>
  <si>
    <t>Net sales - Asia and Oceania</t>
  </si>
  <si>
    <t>16</t>
  </si>
  <si>
    <t>Asia and Oceania Net sales ¥35,351 million</t>
  </si>
  <si>
    <t>Segment profit - Asia and Oceania</t>
  </si>
  <si>
    <t>Asia and Oceania Segment profit ¥3,565 million</t>
  </si>
  <si>
    <t>Net sales ¥240,335 million</t>
  </si>
  <si>
    <t>Gross profit ¥100,572 million</t>
  </si>
  <si>
    <t>Gross margin 41.8%</t>
  </si>
  <si>
    <t>Asia and Oceania Net sales ¥33,314 million</t>
  </si>
  <si>
    <t>Asia and Oceania Segment profit ¥4,038 million</t>
  </si>
  <si>
    <t>Net sales ¥229,711 million</t>
  </si>
  <si>
    <t>Gross profit ¥93,049 million</t>
  </si>
  <si>
    <t>Gross margin 40.5%</t>
  </si>
  <si>
    <t>Asia and Oceania Net sales ¥28,845 million</t>
  </si>
  <si>
    <t>Asia and Oceania Segment profit ¥2,282 million</t>
  </si>
  <si>
    <t>Net revenue</t>
  </si>
  <si>
    <t>lululemon-2025-annual-report</t>
  </si>
  <si>
    <t>net revenue China mainland</t>
  </si>
  <si>
    <t>中国公司</t>
  </si>
  <si>
    <t>FY20230331</t>
  </si>
  <si>
    <t>亚太区（次）</t>
  </si>
  <si>
    <t>ASICS</t>
  </si>
  <si>
    <t>2026-06-04</t>
  </si>
  <si>
    <t>Net sales - Asia Pacific</t>
  </si>
  <si>
    <t>千新台币元</t>
  </si>
  <si>
    <t>Giant 2025_Annual_Report_EN.pdf</t>
  </si>
  <si>
    <t>Asia Sales value 19,472,389 NTD thousands (FY2025, 32.32%)</t>
  </si>
  <si>
    <t>千新台币元×0.23=千元人民币</t>
  </si>
  <si>
    <t>Giant 2024_annual_report.pdf</t>
  </si>
  <si>
    <t>Asia Sales value 30,950,178 NTD thousands (FY2024, 43.42%)</t>
  </si>
  <si>
    <t>VF 2026 final Annual 10-K Wrap.pdf</t>
  </si>
  <si>
    <t>F-19</t>
  </si>
  <si>
    <t>Asia-Pacific Total $1,403,193 thousand (FY2026)</t>
  </si>
  <si>
    <t>F-20</t>
  </si>
  <si>
    <t>Asia-Pacific Total $1,422,705 thousand (FY2025)</t>
  </si>
  <si>
    <t>VF FY2024 Annual Report.pdf</t>
  </si>
  <si>
    <t>Asia-Pacific Total $1,403,264 thousand (FY2024, = 2023年报)</t>
  </si>
  <si>
    <t>奔赴自然</t>
  </si>
  <si>
    <t>Net sales - China</t>
  </si>
  <si>
    <t>千元人民币</t>
  </si>
  <si>
    <t>奔赴自然招股书2025.pdf</t>
  </si>
  <si>
    <t>215</t>
  </si>
  <si>
    <t>收入由2023年的人民币908.1百万元增加至2024年的人民币1,766.1百万元，并进一步增加至2025年的人民币2,793.0百万元</t>
  </si>
  <si>
    <t>千元人民币×1.0=千元人民币</t>
  </si>
  <si>
    <t>2026-06-05</t>
  </si>
  <si>
    <t>收入由2023年的人民币908.1百万元增加至2024年的人民币1,766.1百万元</t>
  </si>
  <si>
    <t>收入由2023年的人民币908.1百万元</t>
  </si>
  <si>
    <t>Giant 2023 annual report.pdf</t>
  </si>
  <si>
    <t>Asia Sales 28,802,022 NTD thousands (FY2023, 37.43%)</t>
  </si>
  <si>
    <t>FY20260331</t>
    <phoneticPr fontId="2" type="noConversion"/>
  </si>
  <si>
    <t>FY20250331</t>
    <phoneticPr fontId="2" type="noConversion"/>
  </si>
  <si>
    <t>FY20240331</t>
    <phoneticPr fontId="2" type="noConversion"/>
  </si>
  <si>
    <t>行标签</t>
  </si>
  <si>
    <t>总计</t>
  </si>
  <si>
    <t>求和项:归一化指标数值</t>
  </si>
  <si>
    <t>人工核验</t>
    <phoneticPr fontId="2" type="noConversion"/>
  </si>
  <si>
    <t>ok</t>
    <phoneticPr fontId="2" type="noConversion"/>
  </si>
  <si>
    <t>港股-国内</t>
  </si>
  <si>
    <t>收益 11,145,829千元</t>
  </si>
  <si>
    <t>年报五年财务概要直接提取</t>
  </si>
  <si>
    <t>毛利 4,628,536千元</t>
  </si>
  <si>
    <t>毛利率 41.5%</t>
  </si>
  <si>
    <t>权益持有人应占溢利率 11.7%</t>
  </si>
  <si>
    <t>广告10.5%+员工8.4%+研发3.4%=22.3%</t>
  </si>
  <si>
    <t>费用合计/收入: 广告10.5%+员工8.4%+研发3.4%=22.3%</t>
  </si>
  <si>
    <t>收益 10,073,510千元</t>
  </si>
  <si>
    <t>毛利 4,183,292千元</t>
  </si>
  <si>
    <t>权益持有人应占溢利率 11.4%</t>
  </si>
  <si>
    <t>广告12.8%+员工8.5%+研发3.4%=24.7%</t>
  </si>
  <si>
    <t>费用合计/收入: 广告12.8%+员工8.5%+研发3.4%=24.7%</t>
  </si>
  <si>
    <t>收益 8,423,257千元</t>
  </si>
  <si>
    <t>毛利 3,462,155千元</t>
  </si>
  <si>
    <t>毛利率 41.1%</t>
  </si>
  <si>
    <t>广告12.7%+员工9.2%+研发3.7%=25.6%</t>
  </si>
  <si>
    <t>费用合计/收入: 广告12.7%+员工9.2%+研发3.7%=25.6%</t>
  </si>
  <si>
    <t>营业收入 1,012,027千元</t>
  </si>
  <si>
    <t>年报主要会计数据直接提取</t>
  </si>
  <si>
    <t>毛利润 289,504千元</t>
  </si>
  <si>
    <t>营业收入-营业成本</t>
  </si>
  <si>
    <t>毛利率 28.61%</t>
  </si>
  <si>
    <t>毛利润/营业收入</t>
  </si>
  <si>
    <t>归母净利润 -34,188千元</t>
  </si>
  <si>
    <t>归母净利润/营业收入</t>
  </si>
  <si>
    <t>费用合计260,818千元/收入1,012,027千元</t>
  </si>
  <si>
    <t>费用/收入 (销售+管理+研发+财务)</t>
  </si>
  <si>
    <t>境内收入 563,907千元</t>
  </si>
  <si>
    <t>主营业务分地区表</t>
  </si>
  <si>
    <t>境内业务</t>
  </si>
  <si>
    <t>境内毛利率 26.62%</t>
  </si>
  <si>
    <t>境内毛利润/境内收入</t>
  </si>
  <si>
    <t>境外收入 448,120千元</t>
  </si>
  <si>
    <t>主营业务分地区表 (境外含OEM/ODM)</t>
  </si>
  <si>
    <t>境外业务</t>
  </si>
  <si>
    <t>牧高笛2024年报.pdf</t>
  </si>
  <si>
    <t>营业收入 1,304,208千元</t>
  </si>
  <si>
    <t>毛利润 371,382千元</t>
  </si>
  <si>
    <t>毛利率 28.48%</t>
  </si>
  <si>
    <t>归母净利润 83,762千元</t>
  </si>
  <si>
    <t>费用合计265,164千元/收入1,304,208千元</t>
  </si>
  <si>
    <t>费用/收入</t>
  </si>
  <si>
    <t>境内收入 760,522千元</t>
  </si>
  <si>
    <t>境内毛利率 28.57%</t>
  </si>
  <si>
    <t>境外收入 542,269千元</t>
  </si>
  <si>
    <t>营业收入 1,455,870千元</t>
  </si>
  <si>
    <t>年报三年数据表</t>
  </si>
  <si>
    <t>归母净利润 106,797千元</t>
  </si>
  <si>
    <t>毛利率趋势推算</t>
  </si>
  <si>
    <t>年报未直接披露，根据FY2024(28.48%)/FY2025(28.61%)趋势推算</t>
  </si>
  <si>
    <t>集团层面TOTAL [注:FY2023年报未直接披露,根据趋势推算]</t>
  </si>
  <si>
    <t>-</t>
  </si>
  <si>
    <t>年报未披露</t>
  </si>
  <si>
    <t>年报未披露分地区数据</t>
  </si>
  <si>
    <t>境内业务 [年报未披露]</t>
  </si>
  <si>
    <t>FY2024</t>
    <phoneticPr fontId="2" type="noConversion"/>
  </si>
  <si>
    <t>revised</t>
    <phoneticPr fontId="2" type="noConversion"/>
  </si>
  <si>
    <t>斯凯奇</t>
    <phoneticPr fontId="3" type="noConversion"/>
  </si>
  <si>
    <t>Operating expenses Operating expenses increased $495.6 million, or 14.7%, to $3.9 billion, and as a percentage of sales increased 100 basis points to 43.1%. Selling expenses increased $123.7 million, or 18.3%, to $800.6 million, primarily due to higher demand creation expenditures in global marketing and digital advertising. General and administrative expenses increased $371.8 million, or 13.8%, to $3.1 billion. The increased expenses were driven by increases in labor costs of $179.8 million, facility related costs of $79.8 million, including rent and depreciation, and legal costs of $22.3 million</t>
  </si>
  <si>
    <t>Operating expenses</t>
    <phoneticPr fontId="3" type="noConversion"/>
  </si>
  <si>
    <t>千元TWD</t>
  </si>
  <si>
    <t>103-109</t>
  </si>
  <si>
    <t>Net sales revenue: 60,253,963 NT$ thousands</t>
  </si>
  <si>
    <t>毛利润</t>
  </si>
  <si>
    <t>Gross profit: 11,937,250 NT$ thousands</t>
  </si>
  <si>
    <t>Gross margin 19.81% (计算: 11,937,250/60,253,963)</t>
  </si>
  <si>
    <t>19.81% (百分比指标，无需货币换算)</t>
  </si>
  <si>
    <t>运营费用</t>
  </si>
  <si>
    <t>Operating expenses: 10,856,096 NT$ thousands</t>
  </si>
  <si>
    <t>营业利润</t>
  </si>
  <si>
    <t>Profit from operations: 1,081,154 NT$ thousands</t>
  </si>
  <si>
    <t>Net profit: 866,402 NT$ thousands</t>
  </si>
  <si>
    <t>Net margin 1.44% (计算: 866,402/60,253,963)</t>
  </si>
  <si>
    <t>1.44% (百分比指标，无需货币换算)</t>
  </si>
  <si>
    <t>106-111</t>
  </si>
  <si>
    <t>Net operating revenues: 71,278,772 NT$ thousands</t>
  </si>
  <si>
    <t>Gross profit: 13,534,038 NT$ thousands</t>
  </si>
  <si>
    <t>Gross margin 18.99%</t>
  </si>
  <si>
    <t>18.99% (百分比指标，无需货币换算)</t>
  </si>
  <si>
    <t>Operating expenses: 11,675,553 NT$ thousands</t>
  </si>
  <si>
    <t>Operating profit: 1,858,485 NT$ thousands</t>
  </si>
  <si>
    <t>Net income: 1,480,104 NT$ thousands</t>
  </si>
  <si>
    <t>Net margin 2.08%</t>
  </si>
  <si>
    <t>2.08% (百分比指标，无需货币换算)</t>
  </si>
  <si>
    <t>Net operating revenues: 76,953,546 NT$ thousands</t>
  </si>
  <si>
    <t>Gross profit: 16,973,293 NT$ thousands</t>
  </si>
  <si>
    <t>Gross margin 22.06%</t>
  </si>
  <si>
    <t>22.06% (百分比指标，无需货币换算)</t>
  </si>
  <si>
    <t>Operating expenses: 12,263,973 NT$ thousands</t>
  </si>
  <si>
    <t>Operating profit: 4,709,320 NT$ thousands</t>
  </si>
  <si>
    <t>Net income: 3,566,392 NT$ thousands</t>
  </si>
  <si>
    <t>Net margin 4.63%</t>
  </si>
  <si>
    <t>4.63% (百分比指标，无需货币换算)</t>
  </si>
  <si>
    <t>60,253,963.0 × 0.24 = 14,460,951.12 千元RMB</t>
  </si>
  <si>
    <t>11,937,250.0 × 0.24 = 2,864,940.00 千元RMB</t>
  </si>
  <si>
    <t>10,856,096.0 × 0.24 = 2,605,463.04 千元RMB</t>
  </si>
  <si>
    <t>1,081,154.0 × 0.24 = 259,476.96 千元RMB</t>
  </si>
  <si>
    <t>866,402.0 × 0.24 = 207,936.48 千元RMB</t>
  </si>
  <si>
    <t>71,278,772.0 × 0.23 = 16,394,117.56 千元RMB</t>
  </si>
  <si>
    <t>13,534,038.0 × 0.23 = 3,112,828.74 千元RMB</t>
  </si>
  <si>
    <t>11,675,553.0 × 0.23 = 2,685,377.19 千元RMB</t>
  </si>
  <si>
    <t>1,858,485.0 × 0.23 = 427,451.55 千元RMB</t>
  </si>
  <si>
    <t>1,480,104.0 × 0.23 = 340,423.92 千元RMB</t>
  </si>
  <si>
    <t>76,953,546.0 × 0.22 = 16,929,780.12 千元RMB</t>
  </si>
  <si>
    <t>16,973,293.0 × 0.22 = 3,734,124.46 千元RMB</t>
  </si>
  <si>
    <t>12,263,973.0 × 0.22 = 2,698,074.06 千元RMB</t>
  </si>
  <si>
    <t>4,709,320.0 × 0.22 = 1,036,050.40 千元RMB</t>
  </si>
  <si>
    <t>3,566,392.0 × 0.22 = 784,606.24 千元RMB</t>
  </si>
  <si>
    <t>计算得出（经营利润/营业收入）</t>
  </si>
  <si>
    <t>经营利润率: 23.8% = 经营利润19091000 / 营业收入80219000</t>
  </si>
  <si>
    <t>经营利润率: 23.4% = 经营利润16595000 / 营业收入70826000</t>
  </si>
  <si>
    <t>经营利润率: 24.6% = 经营利润15367000 / 营业收入62356000</t>
  </si>
  <si>
    <t>SG&amp;A expenses</t>
  </si>
  <si>
    <t>user_input_files/260512_MIZUNO_FY25_Financial_result_ENG.pdf</t>
  </si>
  <si>
    <t>Consolidated Statement of Income</t>
  </si>
  <si>
    <t>SG&amp;A Expenses: 85,863 百万円</t>
  </si>
  <si>
    <t>FY2025 FY2026 (Apr 2025 - Mar 2026)</t>
  </si>
  <si>
    <t>FY2025财年</t>
  </si>
  <si>
    <t>Operating Profit: 22,603 百万円</t>
  </si>
  <si>
    <t>user_input_files/250513_4Q-FY24-FinancialResults_0.pdf</t>
  </si>
  <si>
    <t>SG&amp;A Expenses: 77,780 百万円</t>
  </si>
  <si>
    <t>FY2024 FY2025 (Apr 2024 - Mar 2025)</t>
  </si>
  <si>
    <t>FY2024财年</t>
  </si>
  <si>
    <t>Operating Profit: 20,777 百万円</t>
  </si>
  <si>
    <t>85,863×0.048×1000=千元RMB</t>
  </si>
  <si>
    <t>22,603×0.048×1000=千元RMB</t>
  </si>
  <si>
    <t>77,780×0.048×1000=千元RMB</t>
  </si>
  <si>
    <t>20,777×0.048×1000=千元RMB</t>
  </si>
  <si>
    <t>73666×0.048×1000=千元RMB</t>
  </si>
  <si>
    <t>SG&amp;A Expenses: 73,666 百万円 (FY2024 ended March 31, 2024)</t>
  </si>
  <si>
    <t>FY2024 = 2023财年 (Apr 2023 - Mar 2024)</t>
  </si>
  <si>
    <t>补充 FY2024 SG&amp;A 数据</t>
  </si>
  <si>
    <t>17279×0.048×1000=千元RMB</t>
  </si>
  <si>
    <t>Operating Profit: 17,279 百万円 (FY2024 ended March 31, 2024)</t>
  </si>
  <si>
    <t>补充 FY2024 经营利润数据</t>
  </si>
  <si>
    <t>百万美元×7200=千元人民币</t>
    <phoneticPr fontId="2" type="noConversion"/>
  </si>
  <si>
    <t>user_input_files/Ex-99-3_Annual-Report_FY2025-1.pdf</t>
  </si>
  <si>
    <t>3014.0×8.1×1000=千元RMB</t>
  </si>
  <si>
    <t>Summary of Financial Performance</t>
  </si>
  <si>
    <t>1893.6×8.1×1000=千元RMB</t>
  </si>
  <si>
    <t>203.7×8.1×1000=千元RMB</t>
  </si>
  <si>
    <t>2318.3×8.1×1000=千元RMB</t>
  </si>
  <si>
    <t>1405.7×8.1×1000=千元RMB</t>
  </si>
  <si>
    <t>242.3×8.1×1000=千元RMB</t>
  </si>
  <si>
    <t>1792.1×8.1×1000=千元RMB</t>
  </si>
  <si>
    <t>1067.2×8.1×1000=千元RMB</t>
  </si>
  <si>
    <t>79.6×8.1×1000=千元RMB</t>
  </si>
  <si>
    <t>CHF in millions</t>
  </si>
  <si>
    <t>营业收入</t>
    <phoneticPr fontId="2" type="noConversion"/>
  </si>
  <si>
    <t>毛利率</t>
    <phoneticPr fontId="2" type="noConversion"/>
  </si>
  <si>
    <t>净利润</t>
    <phoneticPr fontId="2" type="noConversion"/>
  </si>
  <si>
    <t>净利率</t>
    <phoneticPr fontId="2" type="noConversion"/>
  </si>
  <si>
    <t>user_input_files/Ex-99-3_Annual-Report_FY2024-Website.pdf</t>
  </si>
  <si>
    <t>1194.2×8.1×1000=千元RMB</t>
  </si>
  <si>
    <t>Consolidated Statements of Income - SG&amp;A Expenses</t>
  </si>
  <si>
    <t>SG&amp;A ratio</t>
  </si>
  <si>
    <t>887.0×8.1×1000=千元RMB</t>
  </si>
  <si>
    <t>1516.6×8.1×1000=千元RMB</t>
  </si>
  <si>
    <t>Selling, General and Administrative Expenses</t>
  </si>
  <si>
    <t>？</t>
    <phoneticPr fontId="2" type="noConversion"/>
  </si>
  <si>
    <t>2308.1×7.2×1000=千元RMB</t>
  </si>
  <si>
    <t>Gross profit: $2308.1M</t>
  </si>
  <si>
    <t>302.4×7.2×1000=千元RMB</t>
  </si>
  <si>
    <t>Operating profit: $302.4M</t>
  </si>
  <si>
    <t>Operating margin: $6.9M</t>
  </si>
  <si>
    <t>-208.8×7.2×1000=千元RMB</t>
  </si>
  <si>
    <t>Net income: $-208.8M</t>
  </si>
  <si>
    <t>Net margin: $-4.7M</t>
  </si>
  <si>
    <t>2014.5×7.2×1000=千元RMB</t>
  </si>
  <si>
    <t>SG&amp;A expenses: $2014.5M</t>
  </si>
  <si>
    <t>SG&amp;A ratio: $45.8M</t>
  </si>
  <si>
    <t>2871.8×7.2×1000=千元RMB</t>
  </si>
  <si>
    <t>Gross profit: $2871.8M</t>
  </si>
  <si>
    <t>470.8×7.2×1000=千元RMB</t>
  </si>
  <si>
    <t>Operating profit: $470.8M</t>
  </si>
  <si>
    <t>Operating margin: $9.1M</t>
  </si>
  <si>
    <t>78.4×7.2×1000=千元RMB</t>
  </si>
  <si>
    <t>Net income: $78.4M</t>
  </si>
  <si>
    <t>Net margin: $1.5M</t>
  </si>
  <si>
    <t>2430.4×7.2×1000=千元RMB</t>
  </si>
  <si>
    <t>SG&amp;A expenses: $2430.4M</t>
  </si>
  <si>
    <t>SG&amp;A ratio: $46.9M</t>
  </si>
  <si>
    <t>3784.3×7.2×1000=千元RMB</t>
  </si>
  <si>
    <t>Gross profit: $3784.3M</t>
  </si>
  <si>
    <t>701.8×7.2×1000=千元RMB</t>
  </si>
  <si>
    <t>Operating profit: $701.8M</t>
  </si>
  <si>
    <t>Operating margin: $10.7M</t>
  </si>
  <si>
    <t>440.4×7.2×1000=千元RMB</t>
  </si>
  <si>
    <t>Net income: $440.4M</t>
  </si>
  <si>
    <t>Net margin: $6.7M</t>
  </si>
  <si>
    <t>3104.6×7.2×1000=千元RMB</t>
  </si>
  <si>
    <t>SG&amp;A expenses: $3104.6M</t>
  </si>
  <si>
    <t>SG&amp;A ratio: $47.3M</t>
  </si>
  <si>
    <t>Amer 2024 annual report.pdf</t>
    <phoneticPr fontId="2" type="noConversion"/>
  </si>
  <si>
    <t>经营利润率</t>
    <phoneticPr fontId="2" type="noConversion"/>
  </si>
  <si>
    <t>经营费用</t>
    <phoneticPr fontId="2" type="noConversion"/>
  </si>
  <si>
    <t>经营费用率</t>
    <phoneticPr fontId="2" type="noConversion"/>
  </si>
  <si>
    <t>lululemon athletica inc. Form 10-K FY2025 (Consolidated Statements of Operations)</t>
  </si>
  <si>
    <t>11,102,600×7.2=千元RMB（千→千，无需×1000）</t>
  </si>
  <si>
    <t>6,284,132×7.2=千元RMB（千→千，无需×1000）</t>
  </si>
  <si>
    <t>4,066,556×7.2=千元RMB（千→千，无需×1000）</t>
  </si>
  <si>
    <t>2,210,615×7.2=千元RMB（千→千，无需×1000）</t>
  </si>
  <si>
    <t>1,579,183×7.2=千元RMB（千→千，无需×1000）</t>
  </si>
  <si>
    <t>10,588,126×7.2=千元RMB（千→千，无需×1000）</t>
  </si>
  <si>
    <t>6,270,811×7.2=千元RMB（千→千，无需×1000）</t>
  </si>
  <si>
    <t>3,762,379×7.2=千元RMB（千→千，无需×1000）</t>
  </si>
  <si>
    <t>2,505,697×7.2=千元RMB（千→千，无需×1000）</t>
  </si>
  <si>
    <t>1,814,616×7.2=千元RMB（千→千，无需×1000）</t>
  </si>
  <si>
    <t>9,619,278×7.2=千元RMB（千→千，无需×1000）</t>
  </si>
  <si>
    <t>5,609,405×7.2=千元RMB（千→千，无需×1000）</t>
  </si>
  <si>
    <t>3,397,218×7.2=千元RMB（千→千，无需×1000）</t>
  </si>
  <si>
    <t>2,132,676×7.2=千元RMB（千→千，无需×1000）</t>
  </si>
  <si>
    <t>1,550,190×7.2=千元RMB（千→千，无需×1000）</t>
  </si>
  <si>
    <t>Revenues</t>
  </si>
  <si>
    <t>VF Corporation Form 10-K FY2025 (Consolidated Statements of Operations)</t>
  </si>
  <si>
    <t>FY20260201</t>
    <phoneticPr fontId="2" type="noConversion"/>
  </si>
  <si>
    <t>FY20250202</t>
    <phoneticPr fontId="2" type="noConversion"/>
  </si>
  <si>
    <t>FY20240128</t>
    <phoneticPr fontId="2" type="noConversion"/>
  </si>
  <si>
    <t>FY20250329</t>
  </si>
  <si>
    <t>FY20240330</t>
  </si>
  <si>
    <t>FY20260328</t>
  </si>
  <si>
    <t>VF Corporation Form 10-K FY2026 (Consolidated Statements of Operations)</t>
  </si>
  <si>
    <t xml:space="preserve"> 9,504,691千美元×7.2=68,433,775千元RMB（千→千，无需×1000）</t>
  </si>
  <si>
    <t xml:space="preserve"> 5,083,865千美元×7.2=36,603,828千元RMB（千→千，无需×1000）</t>
  </si>
  <si>
    <t xml:space="preserve"> 53.5%（百分比直接使用）</t>
  </si>
  <si>
    <t xml:space="preserve"> 4,690,850千美元×7.2=33,774,120千元RMB（千→千，无需×1000）</t>
  </si>
  <si>
    <t xml:space="preserve"> 49.4%（百分比直接使用）</t>
  </si>
  <si>
    <t xml:space="preserve"> 303,773千美元×7.2=2,187,166千元RMB（千→千，无需×1000）</t>
  </si>
  <si>
    <t xml:space="preserve"> 3.2%（百分比直接使用）</t>
  </si>
  <si>
    <t xml:space="preserve"> -189,716千美元×7.2=-1,365,955千元RMB（千→千，无需×1000）</t>
  </si>
  <si>
    <t xml:space="preserve"> -2.0%（百分比直接使用）</t>
  </si>
  <si>
    <t>9,915,678千美元×7.2=71,392,882千元RMB（千→千，无需×1000）</t>
  </si>
  <si>
    <t>5,112,300千美元×7.2=36,808,560千元RMB（千→千，无需×1000）</t>
  </si>
  <si>
    <t>51.6%（百分比直接使用）</t>
  </si>
  <si>
    <t>4,748,669千美元×7.2=34,190,417千元RMB（千→千，无需×1000）</t>
  </si>
  <si>
    <t>47.9%（百分比直接使用）</t>
  </si>
  <si>
    <t>-143,935千美元×7.2=-1,036,332千元RMB（千→千，无需×1000）</t>
  </si>
  <si>
    <t>-1.5%（百分比直接使用）</t>
  </si>
  <si>
    <t>-968,882千美元×7.2=-6,975,950千元RMB（千→千，无需×1000）</t>
  </si>
  <si>
    <t>-9.8%（百分比直接使用）</t>
  </si>
  <si>
    <t>9,605,207千美元×7.2=69,157,490千元RMB（千→千，无需×1000）</t>
  </si>
  <si>
    <t>5,261,715千美元×7.2=37,884,348千元RMB（千→千，无需×1000）</t>
  </si>
  <si>
    <t>54.8%（百分比直接使用）</t>
  </si>
  <si>
    <t>4,654,430千美元×7.2=33,511,896千元RMB（千→千，无需×1000）</t>
  </si>
  <si>
    <t>48.5%（百分比直接使用）</t>
  </si>
  <si>
    <t>576,569千美元×7.2=4,151,297千元RMB（千→千，无需×1000）</t>
  </si>
  <si>
    <t>6.0%（百分比直接使用）</t>
  </si>
  <si>
    <t>254,920千美元×7.2=1,835,424千元RMB（千→千，无需×1000）</t>
  </si>
  <si>
    <t>2.7%（百分比直接使用）</t>
  </si>
  <si>
    <t>ASICS Corporation FY2025 Consolidated Financial Statements</t>
  </si>
  <si>
    <t>FY2023</t>
    <phoneticPr fontId="2" type="noConversion"/>
  </si>
  <si>
    <t>SG&amp;A expenses</t>
    <phoneticPr fontId="2" type="noConversion"/>
  </si>
  <si>
    <t>2024Q4 Annual Report</t>
  </si>
  <si>
    <t>| 810,916百万日元×0.048×1000=38,923,968千元RMB</t>
  </si>
  <si>
    <t>| 460,632百万日元×0.048×1000=22,110,336千元RMB</t>
  </si>
  <si>
    <t>| 56.80%（百分比直接使用）</t>
  </si>
  <si>
    <t>| 318,112百万日元×0.048×1000=15,269,376千元RMB</t>
  </si>
  <si>
    <t>| 39.23%（百分比直接使用）</t>
  </si>
  <si>
    <t>| 142,519百万日元×0.048×1000=6,840,912千元RMB</t>
  </si>
  <si>
    <t>| 17.57%（百分比直接使用）</t>
  </si>
  <si>
    <t>| 98,828百万日元×0.048×1000=4,743,744千元RMB</t>
  </si>
  <si>
    <t>| 678,526百万日元×0.048×1000=32,569,248千元RMB</t>
  </si>
  <si>
    <t>| 378,878百万日元×0.048×1000=18,186,144千元RMB</t>
  </si>
  <si>
    <t>| 55.83%（百分比直接使用）</t>
  </si>
  <si>
    <t>| 278,766百万日元×0.048×1000=13,380,768千元RMB</t>
  </si>
  <si>
    <t>| 41.08%（百分比直接使用）</t>
  </si>
  <si>
    <t>| 100,111百万日元×0.048×1000=4,805,328千元RMB</t>
  </si>
  <si>
    <t>| 14.75%（百分比直接使用）</t>
  </si>
  <si>
    <t>| 63,944百万日元×0.048×1000=3,069,312千元RMB</t>
  </si>
  <si>
    <t>FY2025</t>
    <phoneticPr fontId="2" type="noConversion"/>
  </si>
  <si>
    <t>中国内地</t>
    <phoneticPr fontId="2" type="noConversion"/>
  </si>
  <si>
    <t>国外</t>
    <phoneticPr fontId="2" type="noConversion"/>
  </si>
  <si>
    <t>TOTAL</t>
    <phoneticPr fontId="2" type="noConversion"/>
  </si>
  <si>
    <t>一、品牌总览 (24家公司)</t>
  </si>
  <si>
    <t>排名</t>
  </si>
  <si>
    <t>数据条数</t>
  </si>
  <si>
    <t>覆盖年份</t>
  </si>
  <si>
    <t>指标数量</t>
  </si>
  <si>
    <t>FY23-25</t>
  </si>
  <si>
    <t>TOTAL, 中国内地</t>
  </si>
  <si>
    <t>TOTAL, 亚太区</t>
  </si>
  <si>
    <t>滔搏國際控股</t>
  </si>
  <si>
    <t>安踏体育</t>
  </si>
  <si>
    <t>TOTAL, 中国公司</t>
  </si>
  <si>
    <t>Lululemon</t>
  </si>
  <si>
    <t>TOTAL, 大中华区</t>
  </si>
  <si>
    <t>哥伦比亚</t>
  </si>
  <si>
    <t>361度</t>
  </si>
  <si>
    <t>特步国际</t>
  </si>
  <si>
    <t>FY23-24</t>
  </si>
  <si>
    <t>探路者</t>
  </si>
  <si>
    <t>牧高笛</t>
  </si>
  <si>
    <t>比音勒芬</t>
  </si>
  <si>
    <t>美津浓</t>
  </si>
  <si>
    <t>Canada Goose</t>
  </si>
  <si>
    <t>TOTAL, 亚太区, 大中华区</t>
  </si>
  <si>
    <t>Topgolf Callaway</t>
  </si>
  <si>
    <t>Lululemon中国</t>
  </si>
  <si>
    <t>二、核心指标覆盖矩阵</t>
  </si>
  <si>
    <t>公司</t>
  </si>
  <si>
    <t>库存天数</t>
  </si>
  <si>
    <t>✅</t>
  </si>
  <si>
    <t>✅TTL</t>
  </si>
  <si>
    <t>滔搏</t>
  </si>
  <si>
    <t>安踏</t>
  </si>
  <si>
    <t>❌</t>
  </si>
  <si>
    <t>Adidas</t>
  </si>
  <si>
    <t>VF Corp</t>
  </si>
  <si>
    <t>Columbia</t>
  </si>
  <si>
    <t>李宁</t>
  </si>
  <si>
    <t>特步</t>
  </si>
  <si>
    <t>On</t>
  </si>
  <si>
    <t>彪马</t>
  </si>
  <si>
    <t>Topgolf</t>
  </si>
  <si>
    <t>三、区域覆盖分类</t>
  </si>
  <si>
    <t>🇨🇳 中国公司 (11家)</t>
  </si>
  <si>
    <t>年份</t>
  </si>
  <si>
    <t>指标数</t>
  </si>
  <si>
    <t>滔搏國際</t>
  </si>
  <si>
    <t>🌏 国际品牌-大中华区 (3家)</t>
  </si>
  <si>
    <t>🌏 国际品牌-亚太区 (6家)</t>
  </si>
  <si>
    <t>On Holding</t>
  </si>
  <si>
    <t>🌍 全球/TOTAL品牌 (4家)</t>
  </si>
  <si>
    <t>四、指标完整性评级</t>
  </si>
  <si>
    <t>评级</t>
  </si>
  <si>
    <t>说明</t>
  </si>
  <si>
    <t>⭐⭐⭐ 完整</t>
  </si>
  <si>
    <t>斯凯奇, 安德玛, 滔搏</t>
  </si>
  <si>
    <t>10个核心指标全覆盖</t>
  </si>
  <si>
    <t>⭐⭐ 较完整</t>
  </si>
  <si>
    <t>Nike, Adidas, 安踏, Lululemon, VF Corp</t>
  </si>
  <si>
    <t>7-9个指标</t>
  </si>
  <si>
    <t>⭐ 一般</t>
  </si>
  <si>
    <t>李宁, 361度, 特步, On, ASICS</t>
  </si>
  <si>
    <t>6-9个指标</t>
  </si>
  <si>
    <t>⚠️ 不完整</t>
  </si>
  <si>
    <t>探路者, 牧高笛, 比音勒芬, 彪马等</t>
  </si>
  <si>
    <t>4-5个指标</t>
  </si>
  <si>
    <t>❌ 仅有收入</t>
  </si>
  <si>
    <t>Canada Goose, Topgolf, 亚玛芬</t>
  </si>
  <si>
    <t>仅1-2个指标</t>
  </si>
  <si>
    <t>五、数据缺口汇总</t>
  </si>
  <si>
    <t>缺失指标</t>
  </si>
  <si>
    <t>涉及公司</t>
  </si>
  <si>
    <t>建议</t>
  </si>
  <si>
    <t>安踏(中国公司), 李宁, 361度, 探路者, 牧高笛, 比音勒芬, 捷安特</t>
  </si>
  <si>
    <t>从年报补充</t>
  </si>
  <si>
    <t>安踏, Nike, Adidas, 李宁, 361度, 特步, On, 美津浓, 彪马</t>
  </si>
  <si>
    <t>特步, Columbia, 探路者等</t>
  </si>
  <si>
    <t>李宁, 361度, 特步等中国品牌</t>
  </si>
  <si>
    <t>经营费用率</t>
  </si>
  <si>
    <t>Uniqlo</t>
  </si>
  <si>
    <t>Uniqlo</t>
    <phoneticPr fontId="3" type="noConversion"/>
  </si>
  <si>
    <t>Inditex</t>
  </si>
  <si>
    <t>Inditex</t>
    <phoneticPr fontId="3" type="noConversion"/>
  </si>
  <si>
    <t>Revenue</t>
  </si>
  <si>
    <t>FY20250831</t>
  </si>
  <si>
    <t>10亿日元</t>
  </si>
  <si>
    <t>Operating Profit</t>
  </si>
  <si>
    <t>Profit Before Income Taxes</t>
  </si>
  <si>
    <t>Net Income</t>
  </si>
  <si>
    <t>FY20240831</t>
  </si>
  <si>
    <t>FY20230831</t>
  </si>
  <si>
    <t>Fast Retailing Integrated Report 2025 (Segment Performance)</t>
  </si>
  <si>
    <t>Business Profit</t>
  </si>
  <si>
    <t>Operating Margin</t>
  </si>
  <si>
    <t>Fast Retailing Integrated Report 2025</t>
  </si>
  <si>
    <t>Stores - Greater China</t>
  </si>
  <si>
    <t>家</t>
  </si>
  <si>
    <t>E-commerce Ratio</t>
  </si>
  <si>
    <t>FY20250131</t>
  </si>
  <si>
    <t>Inditex Group Annual Report 2024 (Note 11 - Geographic Segment)</t>
  </si>
  <si>
    <t>Stores</t>
  </si>
  <si>
    <t>Inditex Group Annual Report 2024</t>
  </si>
  <si>
    <t>FY20240131</t>
  </si>
  <si>
    <t>Gross Profit</t>
  </si>
  <si>
    <t>Gross Margin</t>
  </si>
  <si>
    <t>EBITDA</t>
  </si>
  <si>
    <t>EBIT Margin</t>
  </si>
  <si>
    <t>Net Profit</t>
  </si>
  <si>
    <t>Net Profit Margin</t>
  </si>
  <si>
    <t>Total Stores</t>
  </si>
  <si>
    <t>大中华区</t>
    <phoneticPr fontId="2" type="noConversion"/>
  </si>
  <si>
    <t>亚太/其他地区</t>
  </si>
  <si>
    <t>亚太/其他地区</t>
    <phoneticPr fontId="2" type="noConversion"/>
  </si>
  <si>
    <t>Fast Retailing Integrated Report 2025</t>
    <phoneticPr fontId="2" type="noConversion"/>
  </si>
  <si>
    <t xml:space="preserve"> (Five-Year Summary)</t>
  </si>
  <si>
    <t>Fast Retailing Integrated Report 2026</t>
  </si>
  <si>
    <t>Fast Retailing Integrated Report 2027</t>
  </si>
  <si>
    <t>Fast Retailing Integrated Report 2028</t>
  </si>
  <si>
    <t>Fast Retailing Integrated Report 2029</t>
  </si>
  <si>
    <t>Fast Retailing Integrated Report 2030</t>
  </si>
  <si>
    <t>Fast Retailing Integrated Report 2031</t>
  </si>
  <si>
    <t>Fast Retailing Integrated Report 2032</t>
  </si>
  <si>
    <t>Fast Retailing Integrated Report 2033</t>
  </si>
  <si>
    <t>Fast Retailing Integrated Report 2034</t>
  </si>
  <si>
    <t>Fast Retailing Integrated Report 2035</t>
  </si>
  <si>
    <t>Fast Retailing Integrated Report 2036</t>
  </si>
  <si>
    <t>Fast Retailing Integrated Report 2037</t>
  </si>
  <si>
    <t>Fast Retailing Integrated Report 2038</t>
  </si>
  <si>
    <t>营业收入</t>
    <phoneticPr fontId="2" type="noConversion"/>
  </si>
  <si>
    <t>经营利润</t>
    <phoneticPr fontId="2" type="noConversion"/>
  </si>
  <si>
    <t>经营利润率</t>
    <phoneticPr fontId="2" type="noConversion"/>
  </si>
  <si>
    <t>净利润</t>
    <phoneticPr fontId="2" type="noConversion"/>
  </si>
  <si>
    <t>营业利润率=573.4/3400.5×100=16.86%</t>
  </si>
  <si>
    <t>营业利润率=89.9/650.2×100=13.83%</t>
  </si>
  <si>
    <t>大中华区门店数=1,008家</t>
  </si>
  <si>
    <t>大中华区电商销售占比≈20%</t>
  </si>
  <si>
    <t>营业利润率=500.8/3102.8×100=16.14%</t>
  </si>
  <si>
    <t>营业利润率=383.6/2766.5×100=13.87%</t>
  </si>
  <si>
    <t>门店数</t>
    <phoneticPr fontId="2" type="noConversion"/>
  </si>
  <si>
    <t>电商占比</t>
    <phoneticPr fontId="2" type="noConversion"/>
  </si>
  <si>
    <t>毛利</t>
    <phoneticPr fontId="2" type="noConversion"/>
  </si>
  <si>
    <t>毛利率</t>
    <phoneticPr fontId="2" type="noConversion"/>
  </si>
  <si>
    <t>净利率</t>
    <phoneticPr fontId="2" type="noConversion"/>
  </si>
  <si>
    <t>FY20260131</t>
  </si>
  <si>
    <t>Inditex Group Annual Report 2025 (Note 11 - Geographic Segment)</t>
  </si>
  <si>
    <t>Inditex Group Annual Report 2025</t>
  </si>
  <si>
    <t>Fast Retailing Integrated Report 2024 (Segment Performance - Greater China)</t>
  </si>
  <si>
    <t>Fast Retailing Integrated Report 2024</t>
  </si>
  <si>
    <t>报告周期:20240831 | 归一化周期:2024年 | 营业利润率=104.8/677.0×100=15.48%</t>
  </si>
  <si>
    <t>YoY Revenue Growth</t>
  </si>
  <si>
    <t>报告周期:20240831 | 归一化周期:2024年 | 营收同比增长+9.2%</t>
  </si>
  <si>
    <t>Fast Retailing Integrated Report 2024 (由FY2024 YoY变化倒推计算)</t>
  </si>
  <si>
    <t>计算得出</t>
  </si>
  <si>
    <t>FY20240131</t>
    <phoneticPr fontId="2" type="noConversion"/>
  </si>
  <si>
    <t>营业利润率=104.3/620.2×100=16.82%</t>
  </si>
  <si>
    <t>4,708百万欧元×7.8×1000=36,722,400千元RMB</t>
  </si>
  <si>
    <t>亚太/其他地区门店=1,080家</t>
  </si>
  <si>
    <t>38,632百万欧元×7.8×1000=301,329,600千元RMB</t>
  </si>
  <si>
    <t>22,343百万欧元×7.8×1000=174,275,400千元RMB</t>
  </si>
  <si>
    <t>毛利率=22,343/38,632×100=57.84%</t>
  </si>
  <si>
    <t>10,728百万欧元×7.8×1000=83,678,400千元RMB</t>
  </si>
  <si>
    <t>7,554百万欧元×7.8×1000=58,921,200千元RMB</t>
  </si>
  <si>
    <t>营业利润率=7,554/38,632×100=19.56%</t>
  </si>
  <si>
    <t>5,877百万欧元×7.8×1000=45,840,600千元RMB</t>
  </si>
  <si>
    <t>净利率=5,877/38,632×100=15.21%</t>
  </si>
  <si>
    <t>全球门店总数=5,563家</t>
  </si>
  <si>
    <t>4,796百万欧元×7.8×1000=37,408,800千元RMB</t>
  </si>
  <si>
    <t>35,947百万欧元×7.8×1000=280,386,600千元RMB</t>
  </si>
  <si>
    <t>20,762百万欧元×7.8×1000=161,943,600千元RMB</t>
  </si>
  <si>
    <t>毛利率=20,762/35,947×100=57.76%</t>
  </si>
  <si>
    <t>6,809百万欧元×7.8×1000=53,110,200千元RMB</t>
  </si>
  <si>
    <t>营业利润率=6,809/35,947×100=18.94%</t>
  </si>
  <si>
    <t>5,395百万欧元×7.8×1000=42,081,000千元RMB</t>
  </si>
  <si>
    <t>4,630百万欧元×7.8×1000=36,114,000千元RMB</t>
  </si>
  <si>
    <t>39,864百万欧元×7.8×1000=310,939,200千元RMB</t>
  </si>
  <si>
    <t>23,222百万欧元×7.8×1000=181,131,600千元RMB</t>
  </si>
  <si>
    <t>毛利率=23,222/39,864×100=58.25%</t>
  </si>
  <si>
    <t>7,997百万欧元×7.8×1000=62,376,600千元RMB</t>
  </si>
  <si>
    <t>营业利润率=7,997/39,864×100=20.06%</t>
  </si>
  <si>
    <t>6,220百万欧元×7.8×1000=48,516,000千元RMB</t>
  </si>
  <si>
    <t>净利率=6,220/39,864×100=15.60%</t>
  </si>
  <si>
    <t>昂跑</t>
  </si>
  <si>
    <t>Modual A：规模与增长 - 了解市场地位与扩张速度</t>
  </si>
  <si>
    <t>核心关注点</t>
  </si>
  <si>
    <t>DKT对标</t>
  </si>
  <si>
    <t>国内财报常用术语</t>
  </si>
  <si>
    <t>国际（尤其美股）财报常用术语</t>
  </si>
  <si>
    <t>分析要点</t>
  </si>
  <si>
    <t>⭐⭐</t>
  </si>
  <si>
    <t>1. 营业收入/销售额</t>
  </si>
  <si>
    <t>TO</t>
  </si>
  <si>
    <t>营业收入、主营业务收入、销售额</t>
  </si>
  <si>
    <t>Revenue, Sales, Net Sales</t>
  </si>
  <si>
    <t>绝对规模与趋势。这是最顶层的指标，反映市场占有率。需关注同比/环比增长率、季度/年度趋势。</t>
  </si>
  <si>
    <t>⭐</t>
  </si>
  <si>
    <t>2. 同店销售增长</t>
  </si>
  <si>
    <t>同店销售额增长率、可比门店销售增长</t>
  </si>
  <si>
    <t>Comparable Store Sales Growth (Comps/SSSG)</t>
  </si>
  <si>
    <t>内生增长质量。剔除新开店影响，反映现有门店的经营健康状况和品牌吸引力，对零售业至关重要。</t>
  </si>
  <si>
    <t>Modual B：盈利能力 - 分析赚钱效率与商业模式优劣</t>
  </si>
  <si>
    <t>国际财报常用术语</t>
  </si>
  <si>
    <t>3. 毛利率</t>
  </si>
  <si>
    <t>毛利率 = (营业收入 - 营业成本) / 营业收入</t>
  </si>
  <si>
    <t>Gross Margin = (Revenue - Cost of Goods Sold) / Revenue</t>
  </si>
  <si>
    <t>产品竞争力与成本控制。高毛利率通常意味着品牌溢价强或供应链成本控制好。是分析盈利能力的第一个关键节点。</t>
  </si>
  <si>
    <t>4. 营业利润/率</t>
  </si>
  <si>
    <t>营业利润、营业利润率</t>
  </si>
  <si>
    <t>Operating Income, Operating Profit Margin</t>
  </si>
  <si>
    <t>核心业务的经营效率。扣除了销售、管理、研发等运营费用，反映主营业务的真实盈利能力。</t>
  </si>
  <si>
    <t>5. 净利润/率</t>
  </si>
  <si>
    <t>净利润、归属于母公司股东的净利润、净利率</t>
  </si>
  <si>
    <t>Net Income, Net Profit Margin, EBIT</t>
  </si>
  <si>
    <t>最终盈利成果。包含所有收入、成本、税费和一次性项目。净利率的变动趋势能揭示整体盈利能力的稳定性。</t>
  </si>
  <si>
    <t>Modual C：运营效率与财务健康度 - 评估经营稳健性与风险</t>
  </si>
  <si>
    <t>6. 运营费用率</t>
  </si>
  <si>
    <t>销售费用率、管理费用率、研发费用率</t>
  </si>
  <si>
    <t>SG&amp;A Rate (销售、一般及行政费用率), R&amp;D Expense Rate</t>
  </si>
  <si>
    <t>成本结构与管理水平。特别是销售费用率，对于零售和运动品牌而言，反映了市场推广和渠道成本的效率。</t>
  </si>
  <si>
    <t>7. 库存周转率/天数</t>
  </si>
  <si>
    <t>存货周转率、存货周转天数</t>
  </si>
  <si>
    <t>Inventory Turnover, Days Sales of Inventory (DSI)</t>
  </si>
  <si>
    <t>供应链与商品管理核心。对于迪卡侬这类体育用品零售商，库存积压是巨大风险。低周转率可能预示产品滞销或采购失误。</t>
  </si>
  <si>
    <t>8. 经营活动现金流量净额</t>
  </si>
  <si>
    <t>经营活动产生的现金流量净额</t>
  </si>
  <si>
    <t>Net Cash Provided by Operating Activities</t>
  </si>
  <si>
    <t>‍“造血”能力。利润可能受会计处理影响，但现金流是实打实的。健康的公司应有稳定为正且与净利润匹配的经营现金流。</t>
  </si>
  <si>
    <t>9. 关键资产负债指标</t>
  </si>
  <si>
    <t>资产负债率、流动比率、速动比率</t>
  </si>
  <si>
    <t>Debt-to-Asset Ratio, Current Ratio, Quick Ratio</t>
  </si>
  <si>
    <t>财务杠杆与短期偿债风险。高负债率在扩张期常见，但需警惕偿债风险。流动比率反映短期支付能力。</t>
  </si>
  <si>
    <t>Modual D：战略与长期价值 - 洞察未来潜力与投资方向</t>
  </si>
  <si>
    <t>10. 资本支出</t>
  </si>
  <si>
    <t>购建固定资产等支付的现金</t>
  </si>
  <si>
    <t>Capital Expenditures (CapEx)</t>
  </si>
  <si>
    <t>未来扩张与再投资。高资本支出可能意味着正在积极开店、建厂或升级物流，是判断增长意图的重要信号。</t>
  </si>
  <si>
    <t>11. 坪效/单店收入</t>
  </si>
  <si>
    <t>坪效、每平方米销售额</t>
  </si>
  <si>
    <t>Sales per Square Meter/Foot</t>
  </si>
  <si>
    <t>门店运营效率。直接衡量门店空间利用效率和选址、运营水平，是零售业内部效率的核心对标指标。</t>
  </si>
  <si>
    <t>12. 研发投入</t>
  </si>
  <si>
    <t>研发费用</t>
  </si>
  <si>
    <t>Research &amp; Development (R&amp;D) Expense</t>
  </si>
  <si>
    <t>创新与未来产品力。对于运动品牌，研发投入关乎新材料、新科技的应用，是长期竞争力的来源。</t>
  </si>
  <si>
    <t>口径说明</t>
  </si>
  <si>
    <t>1. 时间口径</t>
  </si>
  <si>
    <t>按财年覆盖月份较多的年份进行归一化处理。例如，2025年数据包含财年结束于2026年5月31日（即2025年6月1日至2026年5月31日）的财务年度数据。</t>
  </si>
  <si>
    <t>2. 区域口径</t>
  </si>
  <si>
    <t>由于不同品牌披露的区域划分粒度不一，数据录入按以下优先级执行：中国大陆 &gt; 大中华区 &gt; 亚太区 &gt; 全球。所列品牌的营业收入均已统一至不高于“亚太”层级的口径。在进行同市场数据对比时，需注意口径差异，建议优先关注增速指标。其他盈利及经营类数据（如毛利率、经营利润率、经营费用增速等）多为全球口径，分析时优先关注占比与增速。</t>
  </si>
  <si>
    <t>3. 货币单位</t>
  </si>
  <si>
    <t>对于跨国公司（MNC），若原始数据以母公司所在国货币列示，已统一换算为人民币。本次分析不考虑汇率波动带来的影响。</t>
  </si>
  <si>
    <t>1. 行业趋势：营收、毛利率、净利率、营业利润率、营业费用率 变化趋势</t>
  </si>
  <si>
    <t>指标</t>
  </si>
  <si>
    <t>趋势</t>
  </si>
  <si>
    <t>↓ 小幅下滑</t>
  </si>
  <si>
    <t>2. 品牌营收表现</t>
    <phoneticPr fontId="3" type="noConversion"/>
  </si>
  <si>
    <t>公司名</t>
  </si>
  <si>
    <t>361度</t>
    <phoneticPr fontId="3" type="noConversion"/>
  </si>
  <si>
    <t>安踏</t>
    <phoneticPr fontId="3" type="noConversion"/>
  </si>
  <si>
    <t>奔赴自然(伯希和）</t>
  </si>
  <si>
    <t>公司名</t>
    <phoneticPr fontId="2" type="noConversion"/>
  </si>
  <si>
    <t>Uniqlo</t>
    <phoneticPr fontId="2" type="noConversion"/>
  </si>
  <si>
    <t>Inditex</t>
    <phoneticPr fontId="2" type="noConversion"/>
  </si>
  <si>
    <t>FY23-24变化率(%)</t>
  </si>
  <si>
    <t>FY24-25变化率(%)</t>
  </si>
  <si>
    <t>平均值项:归一化指标数值</t>
  </si>
  <si>
    <r>
      <t>4,796</t>
    </r>
    <r>
      <rPr>
        <sz val="11"/>
        <color rgb="FF000000"/>
        <rFont val="微软雅黑"/>
        <family val="2"/>
        <charset val="134"/>
      </rPr>
      <t>百万欧元</t>
    </r>
    <r>
      <rPr>
        <sz val="11"/>
        <color rgb="FF000000"/>
        <rFont val="Calibri"/>
        <family val="2"/>
      </rPr>
      <t>×7.8×1000=36,722,400</t>
    </r>
    <r>
      <rPr>
        <sz val="11"/>
        <color rgb="FF000000"/>
        <rFont val="微软雅黑"/>
        <family val="2"/>
        <charset val="134"/>
      </rPr>
      <t>千元</t>
    </r>
    <r>
      <rPr>
        <sz val="11"/>
        <color rgb="FF000000"/>
        <rFont val="Calibri"/>
        <family val="2"/>
      </rPr>
      <t>RMB</t>
    </r>
    <phoneticPr fontId="2" type="noConversion"/>
  </si>
  <si>
    <t>覆盖区域</t>
    <phoneticPr fontId="3" type="noConversion"/>
  </si>
  <si>
    <t>中国公司</t>
    <phoneticPr fontId="2" type="noConversion"/>
  </si>
  <si>
    <t>营收增速</t>
    <phoneticPr fontId="3" type="noConversion"/>
  </si>
  <si>
    <t>-</t>
    <phoneticPr fontId="3" type="noConversion"/>
  </si>
  <si>
    <t>毛利率均值</t>
    <phoneticPr fontId="3" type="noConversion"/>
  </si>
  <si>
    <t>净利率均值</t>
    <phoneticPr fontId="3" type="noConversion"/>
  </si>
  <si>
    <t>运营费用率均值</t>
    <phoneticPr fontId="3" type="noConversion"/>
  </si>
  <si>
    <t>品牌</t>
    <phoneticPr fontId="3" type="noConversion"/>
  </si>
  <si>
    <t>2025营收</t>
    <phoneticPr fontId="3" type="noConversion"/>
  </si>
  <si>
    <t>3. 毛利率</t>
    <phoneticPr fontId="3" type="noConversion"/>
  </si>
  <si>
    <t>全球</t>
    <phoneticPr fontId="3" type="noConversion"/>
  </si>
  <si>
    <t>3. 净利率</t>
    <phoneticPr fontId="3" type="noConversion"/>
  </si>
  <si>
    <t>TTL</t>
    <phoneticPr fontId="3" type="noConversion"/>
  </si>
  <si>
    <t>4. 经营费用率</t>
    <phoneticPr fontId="3" type="noConversion"/>
  </si>
  <si>
    <t>↑后↓</t>
    <phoneticPr fontId="3" type="noConversion"/>
  </si>
  <si>
    <t>2025年小涨↓</t>
    <phoneticPr fontId="3" type="noConversion"/>
  </si>
  <si>
    <t>25年xx%品牌营收下滑</t>
    <phoneticPr fontId="3" type="noConversion"/>
  </si>
  <si>
    <r>
      <t xml:space="preserve">5. 盈利性分析: </t>
    </r>
    <r>
      <rPr>
        <sz val="11"/>
        <color theme="1"/>
        <rFont val="Calibri"/>
        <family val="3"/>
        <charset val="134"/>
        <scheme val="minor"/>
      </rPr>
      <t>2025年盈利&amp;经营指标</t>
    </r>
    <phoneticPr fontId="3" type="noConversion"/>
  </si>
  <si>
    <t>高盈利组</t>
  </si>
  <si>
    <t>高盈利组</t>
    <phoneticPr fontId="3" type="noConversion"/>
  </si>
  <si>
    <t>中等盈利</t>
  </si>
  <si>
    <t>中等盈利</t>
    <phoneticPr fontId="3" type="noConversion"/>
  </si>
  <si>
    <t>盈利承压</t>
  </si>
  <si>
    <t>盈利承压</t>
    <phoneticPr fontId="3" type="noConversion"/>
  </si>
  <si>
    <r>
      <rPr>
        <b/>
        <sz val="11"/>
        <color rgb="FFFFFFFF"/>
        <rFont val="宋体"/>
        <family val="2"/>
      </rPr>
      <t>盈利组</t>
    </r>
    <phoneticPr fontId="3" type="noConversion"/>
  </si>
  <si>
    <t>平均值项:净利率</t>
  </si>
  <si>
    <t>平均值项:毛利率</t>
  </si>
  <si>
    <t>平均值项:运营费用率</t>
  </si>
  <si>
    <t>广告费用率</t>
    <phoneticPr fontId="2" type="noConversion"/>
  </si>
  <si>
    <t>员工费用率</t>
  </si>
  <si>
    <t>员工费用率</t>
    <phoneticPr fontId="2" type="noConversion"/>
  </si>
  <si>
    <t>研发活动成本比率</t>
    <phoneticPr fontId="2" type="noConversion"/>
  </si>
  <si>
    <t>经营费用率</t>
    <phoneticPr fontId="2" type="noConversion"/>
  </si>
  <si>
    <t>研发费用率</t>
  </si>
  <si>
    <t>研发费用率</t>
    <phoneticPr fontId="2" type="noConversion"/>
  </si>
  <si>
    <t>ok</t>
    <phoneticPr fontId="2" type="noConversion"/>
  </si>
  <si>
    <t>6. 运营费用拆分</t>
    <phoneticPr fontId="3" type="noConversion"/>
  </si>
  <si>
    <t>adidas</t>
    <phoneticPr fontId="3" type="noConversion"/>
  </si>
  <si>
    <t>Net sales - China Mainland</t>
  </si>
  <si>
    <t>Consolidated Financial Statements and Auditor's Report 2025.pdf</t>
  </si>
  <si>
    <t>65</t>
  </si>
  <si>
    <t>Net sales attributable to "Greater China" of ¥120,244 million for the year ended December 31, 2025 include net sales in the People's Republic of China of ¥99,151 million</t>
  </si>
  <si>
    <t>中国大陆(People's Republic of China)</t>
  </si>
  <si>
    <t>2025-06-09</t>
  </si>
  <si>
    <t>ok</t>
  </si>
  <si>
    <t>Net sales attributable to "Greater China" of ¥100,490 million for the year ended December 31, 2024 include net sales in the People's Republic of China of ¥83,026 million</t>
  </si>
  <si>
    <t>2024Q4 Annual Report.pdf</t>
  </si>
  <si>
    <t>58</t>
  </si>
  <si>
    <t>Net sales attributable to "Greater China" of ¥77,572 million for the year ended December 31, 2023 include net sales in the People's Republic of China of ¥63,624 million</t>
  </si>
  <si>
    <t>adidas AG</t>
  </si>
  <si>
    <t>Net income from continuing operations</t>
  </si>
  <si>
    <t>adidas_annual_report_2024_EN_Final_secured_c8nukv.pdf</t>
  </si>
  <si>
    <t>361</t>
  </si>
  <si>
    <t>Net income from continuing operations €824 million</t>
  </si>
  <si>
    <t>百万欧元×1000×7.8=千元人民币</t>
  </si>
  <si>
    <t xml:space="preserve">集团TOTAL </t>
  </si>
  <si>
    <t>待核验</t>
  </si>
  <si>
    <t>Net income/(loss) attributable to shareholders</t>
  </si>
  <si>
    <t>net income attributable to shareholders...amounted to €764 million in 2024</t>
  </si>
  <si>
    <t>归属母公司净利润</t>
  </si>
  <si>
    <t>Net income/(loss)</t>
  </si>
  <si>
    <t>Net income/(loss) 832</t>
  </si>
  <si>
    <t>Marketing and point-of-sale expenses</t>
  </si>
  <si>
    <t>Marketing and point-of-sale expenses 2,841</t>
  </si>
  <si>
    <t>广告及市场费用</t>
  </si>
  <si>
    <t>集团TOTAL (占销售额12.0%)</t>
  </si>
  <si>
    <t>Distribution and selling expenses</t>
  </si>
  <si>
    <t>Distribution and selling expenses 5,936</t>
  </si>
  <si>
    <t>分销与销售费用</t>
  </si>
  <si>
    <t>集团TOTAL (占销售额25.1%)</t>
  </si>
  <si>
    <t>General and administration expenses</t>
  </si>
  <si>
    <t>General and administration expenses 2,138</t>
  </si>
  <si>
    <t>管理费用</t>
  </si>
  <si>
    <t>集团TOTAL (占销售额9.0%)</t>
  </si>
  <si>
    <t>Other operating expenses</t>
  </si>
  <si>
    <t>Other operating expenses 10,945</t>
  </si>
  <si>
    <t>集团TOTAL (占销售额46.2%)</t>
  </si>
  <si>
    <t>Net loss of €58 million</t>
  </si>
  <si>
    <t>net loss of €75 million</t>
  </si>
  <si>
    <t>Net income/(loss) -14</t>
  </si>
  <si>
    <t>Marketing and point-of-sale expenses 2,528</t>
  </si>
  <si>
    <t>集团TOTAL (占销售额11.8%)</t>
  </si>
  <si>
    <t>Distribution and selling expenses 5,547</t>
  </si>
  <si>
    <t>集团TOTAL (占销售额25.9%)</t>
  </si>
  <si>
    <t>General and administration expenses 1,839</t>
  </si>
  <si>
    <t>集团TOTAL (占销售额8.6%)</t>
  </si>
  <si>
    <t>Other operating expenses 10,070</t>
  </si>
  <si>
    <t>集团TOTAL (占销售额47.0%)</t>
  </si>
  <si>
    <t>adidasAG_FY_2025_Results_EN_Final_tb9z6m.pdf</t>
  </si>
  <si>
    <t>13</t>
  </si>
  <si>
    <t>Net sales 24,811 in FY2025 (Condensed Consolidated Income Statement)</t>
  </si>
  <si>
    <t>Gross profit 12,804 in FY2025 (Condensed Consolidated Income Statement)</t>
  </si>
  <si>
    <t>Other operating expenses 10,871 in FY2025 (Condensed Consolidated Income Statement)</t>
  </si>
  <si>
    <t>Marketing and point-of-sale expenses 3,079 in FY2025 (Condensed Consolidated Income Statement)</t>
  </si>
  <si>
    <t>Operating overhead expenses</t>
  </si>
  <si>
    <t>Operating overhead expenses 7,792 in FY2025 (Condensed Consolidated Income Statement)</t>
  </si>
  <si>
    <t>管理及运营费用</t>
  </si>
  <si>
    <t>Operating profit 2,056 in FY2025 (Condensed Consolidated Income Statement)</t>
  </si>
  <si>
    <t>Income before taxes</t>
  </si>
  <si>
    <t>Income before taxes 1,820 in FY2025 (Condensed Consolidated Income Statement)</t>
  </si>
  <si>
    <t>税前利润</t>
  </si>
  <si>
    <t>Income taxes</t>
  </si>
  <si>
    <t>Income taxes 443 in FY2025 (Condensed Consolidated Income Statement)</t>
  </si>
  <si>
    <t>所得税</t>
  </si>
  <si>
    <t>Net income from continuing operations 1,377 in FY2025 (Condensed Consolidated Income Statement)</t>
  </si>
  <si>
    <t>Net income 1,385 in FY2025 (Condensed Consolidated Income Statement)</t>
  </si>
  <si>
    <t>净利润(含discontinued)</t>
  </si>
  <si>
    <t>Net income attributable to shareholders</t>
  </si>
  <si>
    <t>Net income attributable to shareholders 1,340 in FY2025 (Condensed Consolidated Income Statement)</t>
  </si>
  <si>
    <t>Gross margin (% of net sales)</t>
  </si>
  <si>
    <t>Gross margin (% of net sales) 51.6% in FY2025 (Condensed Consolidated Income Statement)</t>
  </si>
  <si>
    <t>百分比直接存储</t>
  </si>
  <si>
    <t>Operating profit margin (% of net sales)</t>
  </si>
  <si>
    <t>Operating profit margin (% of net sales) 8.3% in FY2025 (Condensed Consolidated Income Statement)</t>
  </si>
  <si>
    <t>Net income from continuing operations margin</t>
  </si>
  <si>
    <t>Net income from continuing operations margin 5.6% in FY2025 (Condensed Consolidated Income Statement)</t>
  </si>
  <si>
    <t>Net income margin</t>
  </si>
  <si>
    <t>Net income margin 5.6% in FY2025 (Condensed Consolidated Income Statement)</t>
  </si>
  <si>
    <t>净利率(含discontinued)</t>
  </si>
  <si>
    <t>Other operating expenses ratio</t>
  </si>
  <si>
    <t>Other operating expenses ratio 43.8% in FY2025 (Condensed Consolidated Income Statement)</t>
  </si>
  <si>
    <t>Marketing and POS expenses ratio</t>
  </si>
  <si>
    <t>Marketing and POS expenses ratio 12.4% in FY2025 (Condensed Consolidated Income Statement)</t>
  </si>
  <si>
    <t>广告及市场费用率</t>
  </si>
  <si>
    <t>Operating overhead expenses ratio</t>
  </si>
  <si>
    <t>Operating overhead expenses ratio 31.4% in FY2025 (Condensed Consolidated Income Statement)</t>
  </si>
  <si>
    <t>管理及运营费用率</t>
  </si>
  <si>
    <t>Income before taxes margin</t>
  </si>
  <si>
    <t>Income before taxes margin 7.3% in FY2025 (Condensed Consolidated Income Statement)</t>
  </si>
  <si>
    <t>税前利润率</t>
  </si>
  <si>
    <t>Tax rate</t>
  </si>
  <si>
    <t>Tax rate 24.3% in FY2025 (Condensed Consolidated Income Statement)</t>
  </si>
  <si>
    <t>实际税率</t>
  </si>
  <si>
    <t>Gross margin (% of net sales) 50.8% in 2024</t>
  </si>
  <si>
    <t>Operating profit margin (% of net sales) 5.6% in 2024</t>
  </si>
  <si>
    <t>Net income from continuing operations margin 3.5% in 2024</t>
  </si>
  <si>
    <t>Net income margin 3.5% in 2024</t>
  </si>
  <si>
    <t>Other operating expenses ratio 46.2% in 2024</t>
  </si>
  <si>
    <t>Marketing and POS expenses ratio 12.0% in 2024</t>
  </si>
  <si>
    <t>Operating overhead expenses ratio 34.2% in 2024</t>
  </si>
  <si>
    <t>Gross margin (% of net sales) 47.5% in 2023</t>
  </si>
  <si>
    <t>Operating profit margin (% of net sales) 1.3% in 2023</t>
  </si>
  <si>
    <t>Net income from continuing operations margin -0.3% in 2023</t>
  </si>
  <si>
    <t>Net income margin -0.1% in 2023</t>
  </si>
  <si>
    <t>Other operating expenses ratio 47.0% in 2023</t>
  </si>
  <si>
    <t>Marketing and POS expenses ratio 11.8% in 2023</t>
  </si>
  <si>
    <t>Operating overhead expenses ratio 35.2% in 2023</t>
  </si>
  <si>
    <t>Row Labels</t>
  </si>
  <si>
    <t>Grand Total</t>
  </si>
  <si>
    <t>Column Labels</t>
  </si>
  <si>
    <t>(Multiple Items)</t>
  </si>
  <si>
    <t>10亿日元×1,000,000×0.048=千元人民币</t>
  </si>
  <si>
    <t>公司 / 集团名称</t>
  </si>
  <si>
    <t>Lululemon（露露乐蒙）</t>
  </si>
  <si>
    <t>Skechers（斯凯奇）</t>
  </si>
  <si>
    <t>Canada Goose（加拿大鹅）</t>
  </si>
  <si>
    <t>PUMA（彪马）</t>
  </si>
  <si>
    <t>Mizuno（美津浓）</t>
  </si>
  <si>
    <t>On（昂跑）</t>
  </si>
  <si>
    <t>Under Armour（安德玛）</t>
  </si>
  <si>
    <t>361 度</t>
  </si>
  <si>
    <t>奔赴自然 (伯希和）</t>
  </si>
  <si>
    <t>PELLIOT（伯希和）、奔赴自然</t>
  </si>
  <si>
    <t>Decathlon SA</t>
  </si>
  <si>
    <t>Decathlon Group's 2024 Performance.html</t>
  </si>
  <si>
    <t>N/A (HTML)</t>
  </si>
  <si>
    <t>revenue rose by +3.8%, reaching €16.2 billion</t>
  </si>
  <si>
    <t>Net result</t>
  </si>
  <si>
    <t>Net sales = 16.2 billion euros. Net result = 787 million euros</t>
  </si>
  <si>
    <t>集团TOTAL, Net result = Net income</t>
  </si>
  <si>
    <t>迪卡侬2023年业绩报告</t>
  </si>
  <si>
    <t>新闻报道</t>
  </si>
  <si>
    <t>2023年迪卡侬集团业绩达156亿欧元，相比2022年微增1.15%</t>
  </si>
  <si>
    <t>2023年净利润高达9.31亿欧元</t>
  </si>
  <si>
    <t>FY2022</t>
  </si>
  <si>
    <t>迪卡侬2022年业绩报告</t>
  </si>
  <si>
    <t>2022年集团收入154亿欧元</t>
  </si>
  <si>
    <t>2022年净利润9.23亿欧元</t>
  </si>
  <si>
    <t>Number of stores</t>
  </si>
  <si>
    <t>Number of stores = 1,817</t>
  </si>
  <si>
    <t>门店数</t>
  </si>
  <si>
    <t>门店数直接存储</t>
  </si>
  <si>
    <t>集团TOTAL, 全球门店数</t>
  </si>
  <si>
    <t>Number of stores - China</t>
  </si>
  <si>
    <t>亿欧网/新浪财经</t>
  </si>
  <si>
    <t>截至2024年，迪卡侬在中国拥有200余家实体门店</t>
  </si>
  <si>
    <t>中国内地, 覆盖100+城市</t>
  </si>
  <si>
    <t>Digital sales ratio</t>
  </si>
  <si>
    <t>Digital sales now represent 20% of total revenue</t>
  </si>
  <si>
    <t>数字渠道占比</t>
  </si>
  <si>
    <t>集团TOTAL, 含电商、市场平台、店内线上下单</t>
  </si>
  <si>
    <t>Net margin (Net result / Net sales)</t>
  </si>
  <si>
    <t>Decathlon Group's 2024 Performance.html 计算</t>
  </si>
  <si>
    <t>Net result (€787M) / Net sales (€16,200M) × 100%</t>
  </si>
  <si>
    <t>集团TOTAL, Net result/Net sales</t>
  </si>
  <si>
    <t>迪卡侬2023年业绩报告 计算</t>
  </si>
  <si>
    <t>2023年迪卡侬集团业绩达156亿欧元...净利润高达9.31亿欧元</t>
  </si>
  <si>
    <t>Net result (€931M) / Net sales (€15,600M) × 100%</t>
  </si>
  <si>
    <t>迪卡侬2022年业绩报告 计算</t>
  </si>
  <si>
    <t>2022年集团收入154亿欧元...净利润9.23亿欧元</t>
  </si>
  <si>
    <t>Net result (€923M) / Net sales (€15,400M) × 100%</t>
  </si>
  <si>
    <t>decathlon-group_global-annual-results-2025_press-release.pdf</t>
  </si>
  <si>
    <t>3</t>
  </si>
  <si>
    <t>Net sales = 16.8 billion euros</t>
  </si>
  <si>
    <t>Net result = 910 million euros</t>
  </si>
  <si>
    <t>EBITDA = 1.8 billion euros</t>
  </si>
  <si>
    <t>集团TOTAL, EBITDA</t>
  </si>
  <si>
    <t>Gross Merchandise Volume</t>
  </si>
  <si>
    <t>Gross Merchandise Volume (GMV) = 20.7 billion euros</t>
  </si>
  <si>
    <t>商品交易总额</t>
  </si>
  <si>
    <t>集团TOTAL, GMV含批发和零售总额</t>
  </si>
  <si>
    <t>Number of stores = 1,902</t>
  </si>
  <si>
    <t>Digital sales share</t>
  </si>
  <si>
    <t>Digital sales share (ecommerce, connected orders in stores, external marketplace) = 20.2%</t>
  </si>
  <si>
    <t>集团TOTAL, 含电商、店内线上下单、外部市场</t>
  </si>
  <si>
    <t>Number of countries</t>
  </si>
  <si>
    <t>个</t>
  </si>
  <si>
    <t>Global presence = 82 countries/regions</t>
  </si>
  <si>
    <t>覆盖国家数</t>
  </si>
  <si>
    <t>国家数直接存储</t>
  </si>
  <si>
    <t>集团TOTAL, 业务覆盖国家/地区数</t>
  </si>
  <si>
    <t>Number of teammates</t>
  </si>
  <si>
    <t>人</t>
  </si>
  <si>
    <t>Number of Teammates = 102,913</t>
  </si>
  <si>
    <t>员工数</t>
  </si>
  <si>
    <t>员工数直接存储</t>
  </si>
  <si>
    <t>集团TOTAL, 全球员工数(Teammates)</t>
  </si>
  <si>
    <t>decathlon-group_global-annual-results-2025_press-release.pdf 计算</t>
  </si>
  <si>
    <t>Net sales = 16.8 billion euros. Net result = 910 million euros</t>
  </si>
  <si>
    <t>Net result (€910M) / Net sales (€16,800M) × 100%</t>
  </si>
  <si>
    <t>集团TOTAL, 同比2024年4.86%回升</t>
  </si>
  <si>
    <t>经营费用</t>
  </si>
  <si>
    <t>361度 2023-2025年财报深度分析</t>
  </si>
  <si>
    <t>一、整体经营规模 &amp; 增长维度</t>
  </si>
  <si>
    <t>营收规模与增速</t>
  </si>
  <si>
    <t>2023年</t>
  </si>
  <si>
    <t>2024年</t>
  </si>
  <si>
    <t>2025年</t>
  </si>
  <si>
    <t>24→25趋势</t>
  </si>
  <si>
    <t>总营收</t>
  </si>
  <si>
    <t>84.2亿元</t>
  </si>
  <si>
    <t>100.7亿元</t>
  </si>
  <si>
    <t>111.5亿元</t>
  </si>
  <si>
    <t>同比增速</t>
  </si>
  <si>
    <t>增速放缓</t>
  </si>
  <si>
    <t>9.6亿元</t>
  </si>
  <si>
    <t>11.5亿元</t>
  </si>
  <si>
    <t>13.1亿元</t>
  </si>
  <si>
    <t>稳中有升</t>
  </si>
  <si>
    <t>判断：生意底盘从"高速扩张"转向"稳质增长"。2024年受益于疫后复苏+儿童业务发力，营收增长19.6%为三年高点；2025年增速回落至10.6%但净利增速14%高于营收，体现提质增效。</t>
  </si>
  <si>
    <t>收入结构拆解</t>
  </si>
  <si>
    <t>品类</t>
  </si>
  <si>
    <t>三年变化</t>
  </si>
  <si>
    <t>成人鞋类</t>
  </si>
  <si>
    <t>42.9亿(42.6%)</t>
  </si>
  <si>
    <t>46.3亿(41.5%)</t>
  </si>
  <si>
    <t>占比↓</t>
  </si>
  <si>
    <t>成人服装</t>
  </si>
  <si>
    <t>30.9亿(30.7%)</t>
  </si>
  <si>
    <t>34.2亿(30.7%)</t>
  </si>
  <si>
    <t>持平</t>
  </si>
  <si>
    <t>儿童鞋类</t>
  </si>
  <si>
    <t>11.0亿(10.9%)</t>
  </si>
  <si>
    <t>14.1亿(12.7%)</t>
  </si>
  <si>
    <t>占比↑↑</t>
  </si>
  <si>
    <t>儿童服装</t>
  </si>
  <si>
    <t>12.1亿(12.0%)</t>
  </si>
  <si>
    <t>11.2亿(10.0%)</t>
  </si>
  <si>
    <t>其他</t>
  </si>
  <si>
    <t>3.8亿(3.8%)</t>
  </si>
  <si>
    <t>5.6亿(5.1%)</t>
  </si>
  <si>
    <t>占比↑</t>
  </si>
  <si>
    <t>洞察：儿童鞋类成为最大亮点，3年复合增长约28.5%；儿童服装2025年出现下滑（-7.5%），需关注品类竞争力。</t>
  </si>
  <si>
    <t>渠道结构变化</t>
  </si>
  <si>
    <t>渠道</t>
  </si>
  <si>
    <t>电商</t>
  </si>
  <si>
    <t>23.3亿(27.6%)</t>
  </si>
  <si>
    <t>26.1亿(25.9%)</t>
  </si>
  <si>
    <t>32.9亿(29.5%)</t>
  </si>
  <si>
    <t>线下</t>
  </si>
  <si>
    <t>61.0亿(72.4%)</t>
  </si>
  <si>
    <t>74.6亿(74.1%)</t>
  </si>
  <si>
    <t>78.6亿(70.5%)</t>
  </si>
  <si>
    <t>洞察：电商占比从27.6%→29.5%，2025年单年电商增长25.9%远超整体增速，成为核心增长引擎。线下占比下降但绝对额仍增长，显示全渠道布局健康。</t>
  </si>
  <si>
    <t>门店规模与效率</t>
  </si>
  <si>
    <t>品牌</t>
  </si>
  <si>
    <t>2023年末</t>
  </si>
  <si>
    <t>2024年末</t>
  </si>
  <si>
    <t>2025年末</t>
  </si>
  <si>
    <t>主品牌</t>
  </si>
  <si>
    <t>5,734家</t>
  </si>
  <si>
    <t>5,750家</t>
  </si>
  <si>
    <t>5,394家</t>
  </si>
  <si>
    <t>净减360家</t>
  </si>
  <si>
    <t>儿童</t>
  </si>
  <si>
    <t>2,545家</t>
  </si>
  <si>
    <t>2,548家</t>
  </si>
  <si>
    <t>2,364家</t>
  </si>
  <si>
    <t>净减181家</t>
  </si>
  <si>
    <t>国际</t>
  </si>
  <si>
    <t>1,365家</t>
  </si>
  <si>
    <t>1,253家</t>
  </si>
  <si>
    <t>净减112家</t>
  </si>
  <si>
    <t>区域分布（2025年）</t>
  </si>
  <si>
    <t>主品牌占比</t>
  </si>
  <si>
    <t>儿童占比</t>
  </si>
  <si>
    <t>北部</t>
  </si>
  <si>
    <t>西部</t>
  </si>
  <si>
    <t>东部</t>
  </si>
  <si>
    <t>南部</t>
  </si>
  <si>
    <t>二、盈利 &amp; 毛利健康度维度</t>
  </si>
  <si>
    <t>变化</t>
  </si>
  <si>
    <t>综合毛利率</t>
  </si>
  <si>
    <t>+0.4pp</t>
  </si>
  <si>
    <t>+0.1pp</t>
  </si>
  <si>
    <t>+0.3pp</t>
  </si>
  <si>
    <t>洞察：综合毛利率从41.1%→41.5%提升0.4pp，主要来自成人服装（+1.1pp）和鞋类毛利改善。但"其他"品类（配饰/鞋底）毛利率大幅下滑4.6pp，拖累整体。</t>
  </si>
  <si>
    <t>成本结构分析</t>
  </si>
  <si>
    <t>项目</t>
  </si>
  <si>
    <t>自有鞋类生产占比</t>
  </si>
  <si>
    <t>自有服装生产占比</t>
  </si>
  <si>
    <t>研发开支</t>
  </si>
  <si>
    <t>洞察：自有生产比例小幅下降，外包代工比例提升。2025年收购两家第三方工厂强化垂直整合，长期有助成本管控。</t>
  </si>
  <si>
    <t>三、费用管控 &amp; 净利率维度</t>
  </si>
  <si>
    <t>费用率对比</t>
  </si>
  <si>
    <t>费用项目</t>
  </si>
  <si>
    <t>趋势判断</t>
  </si>
  <si>
    <t>⚠️ 2024高点和2025回落</t>
  </si>
  <si>
    <t>管理费用率</t>
  </si>
  <si>
    <t>2025年反弹⚠️</t>
  </si>
  <si>
    <t>稳定在3.4%</t>
  </si>
  <si>
    <t>持续优化↓</t>
  </si>
  <si>
    <t>净利率与ROE</t>
  </si>
  <si>
    <t>↑</t>
  </si>
  <si>
    <t>ROE</t>
  </si>
  <si>
    <t>经营溢利率</t>
  </si>
  <si>
    <t>稳定</t>
  </si>
  <si>
    <t>洞察：</t>
  </si>
  <si>
    <t>四、供应链、库存 &amp; 现金流维度</t>
  </si>
  <si>
    <t>运营效率</t>
  </si>
  <si>
    <t>93日</t>
  </si>
  <si>
    <t>107日</t>
  </si>
  <si>
    <t>117日</t>
  </si>
  <si>
    <t>⚠️ 连续上升</t>
  </si>
  <si>
    <t>贸易应收款天数</t>
  </si>
  <si>
    <t>149日</t>
  </si>
  <si>
    <t>贸易应付款天数</t>
  </si>
  <si>
    <t>110日</t>
  </si>
  <si>
    <t>88日</t>
  </si>
  <si>
    <t>74日</t>
  </si>
  <si>
    <t>缩短↓</t>
  </si>
  <si>
    <t>营运资金周转</t>
  </si>
  <si>
    <t>132日</t>
  </si>
  <si>
    <t>168日</t>
  </si>
  <si>
    <t>192日</t>
  </si>
  <si>
    <t>⚠️ 恶化</t>
  </si>
  <si>
    <t>现金流</t>
  </si>
  <si>
    <t>经营现金净流入</t>
  </si>
  <si>
    <t>8.1亿元</t>
  </si>
  <si>
    <t>现金及等价物</t>
  </si>
  <si>
    <t>42.5亿元</t>
  </si>
  <si>
    <t>40.9亿元</t>
  </si>
  <si>
    <t>借贷总额</t>
  </si>
  <si>
    <t>2.6亿元</t>
  </si>
  <si>
    <t>3.0亿元</t>
  </si>
  <si>
    <t>净现金</t>
  </si>
  <si>
    <t>~40亿</t>
  </si>
  <si>
    <t>五、资本 &amp; 扩张战略维度</t>
  </si>
  <si>
    <t>维度</t>
  </si>
  <si>
    <t>2023-2025年表现</t>
  </si>
  <si>
    <t>资本开支</t>
  </si>
  <si>
    <t>2025年收购两家第三方工厂（江头、五里），强化垂直整合</t>
  </si>
  <si>
    <t>国际业务</t>
  </si>
  <si>
    <t>海外零售流水2025年同比+125.4%，但收入占比仍低（约1.8%）</t>
  </si>
  <si>
    <t>分红</t>
  </si>
  <si>
    <t>2025年股息31.7港仙，派息率45%</t>
  </si>
  <si>
    <t>负债水平</t>
  </si>
  <si>
    <t>负债比率2.1%，极低杠杆</t>
  </si>
  <si>
    <t>洞察：国际业务处于早期布局阶段（1,253家门店，多为批发），海外增长快但基数低。分红率45%稳定，股东回报意识良好。</t>
  </si>
  <si>
    <t>核心结论与趋势总结</t>
  </si>
  <si>
    <t>五年关键指标趋势</t>
  </si>
  <si>
    <t>2021年</t>
  </si>
  <si>
    <t>2022年</t>
  </si>
  <si>
    <t>营收(亿)</t>
  </si>
  <si>
    <t>净利润(亿)</t>
  </si>
  <si>
    <t>三大核心洞察</t>
  </si>
  <si>
    <t>主品牌门店3年净减360家，但营收增长32%</t>
  </si>
  <si>
    <t>电商占比从27.6%→29.5%，儿童鞋类3年复合增长~28%</t>
  </si>
  <si>
    <t>广促费用率从12.8%高点回落至10.5%，品牌力增强降低流量依赖</t>
  </si>
  <si>
    <t>成人服装毛利率提升1.1pp，成本控制有效</t>
  </si>
  <si>
    <t>存货天数从93日→117日（+24日），需警惕2026年春季促销压力</t>
  </si>
  <si>
    <t>存货周转</t>
  </si>
  <si>
    <t>国际化</t>
  </si>
  <si>
    <r>
      <t>洞察：主品牌门店2024年基本持平，2025年净减356家；儿童净减184家。</t>
    </r>
    <r>
      <rPr>
        <sz val="7"/>
        <rFont val="Segoe UI"/>
        <family val="2"/>
      </rPr>
      <t xml:space="preserve"> 关店主要发生在一二线城市（单店面积从149㎡→165㎡），重心转向三线以下城市（占比76.1%）和提升单店质量。</t>
    </r>
    <r>
      <rPr>
        <b/>
        <sz val="7"/>
        <rFont val="Segoe UI"/>
        <family val="2"/>
      </rPr>
      <t>这是从"粗放开店"转向"精细化提店效"的关键信号。</t>
    </r>
  </si>
  <si>
    <r>
      <t>+1.1pp</t>
    </r>
    <r>
      <rPr>
        <sz val="7"/>
        <rFont val="Segoe UI"/>
        <family val="2"/>
      </rPr>
      <t> ✅</t>
    </r>
  </si>
  <si>
    <r>
      <t>-4.6pp</t>
    </r>
    <r>
      <rPr>
        <sz val="7"/>
        <rFont val="Segoe UI"/>
        <family val="2"/>
      </rPr>
      <t> ⚠️</t>
    </r>
  </si>
  <si>
    <r>
      <t>连续3年提升</t>
    </r>
    <r>
      <rPr>
        <sz val="7"/>
        <rFont val="Segoe UI"/>
        <family val="2"/>
      </rPr>
      <t> ✅</t>
    </r>
  </si>
  <si>
    <r>
      <t>广告费用率</t>
    </r>
    <r>
      <rPr>
        <sz val="7"/>
        <rFont val="Segoe UI"/>
        <family val="2"/>
      </rPr>
      <t>：2024年达12.8%高点（请代言人等市场投放），2025年大幅回落2.3pp至10.5%，显示品牌力提升后降低对付费流量依赖</t>
    </r>
  </si>
  <si>
    <r>
      <t>管理费用率</t>
    </r>
    <r>
      <rPr>
        <sz val="7"/>
        <rFont val="Segoe UI"/>
        <family val="2"/>
      </rPr>
      <t>：2025年从6.9%→7.7%反弹，需关注是否一次性因素</t>
    </r>
  </si>
  <si>
    <r>
      <t>ROE连续5年增长</t>
    </r>
    <r>
      <rPr>
        <sz val="7"/>
        <rFont val="Segoe UI"/>
        <family val="2"/>
      </rPr>
      <t>（2021年8.8%→2025年13.5%），股东回报持续改善</t>
    </r>
  </si>
  <si>
    <r>
      <t>~38亿</t>
    </r>
    <r>
      <rPr>
        <sz val="7"/>
        <rFont val="Segoe UI"/>
        <family val="2"/>
      </rPr>
      <t> ✅</t>
    </r>
  </si>
  <si>
    <r>
      <t>存货周转天数从93日→107日→117日连续攀升</t>
    </r>
    <r>
      <rPr>
        <sz val="7"/>
        <rFont val="Segoe UI"/>
        <family val="2"/>
      </rPr>
      <t>，2025年增加10日主要为主动增加电商备货（公司口径），短期合理但需警惕积压</t>
    </r>
  </si>
  <si>
    <r>
      <t>应收款天数稳定在149日</t>
    </r>
    <r>
      <rPr>
        <sz val="7"/>
        <rFont val="Segoe UI"/>
        <family val="2"/>
      </rPr>
      <t>，对经销商账期管理稳定</t>
    </r>
  </si>
  <si>
    <r>
      <t>净现金约38亿</t>
    </r>
    <r>
      <rPr>
        <sz val="7"/>
        <rFont val="Segoe UI"/>
        <family val="2"/>
      </rPr>
      <t>，负债比率仅2.1%，财务安全性极高</t>
    </r>
  </si>
  <si>
    <r>
      <t>1. 增长引擎切换</t>
    </r>
    <r>
      <rPr>
        <sz val="7"/>
        <rFont val="Segoe UI"/>
        <family val="2"/>
      </rPr>
      <t>：从"门店扩张"转向"电商+儿童品类"双驱动</t>
    </r>
  </si>
  <si>
    <r>
      <t>2. 盈利质量提升</t>
    </r>
    <r>
      <rPr>
        <sz val="7"/>
        <rFont val="Segoe UI"/>
        <family val="2"/>
      </rPr>
      <t>：ROE连续5年增长，净利率稳中有升</t>
    </r>
  </si>
  <si>
    <r>
      <t>3. 运营风险点</t>
    </r>
    <r>
      <rPr>
        <sz val="7"/>
        <rFont val="Segoe UI"/>
        <family val="2"/>
      </rPr>
      <t>：存货周转恶化</t>
    </r>
  </si>
  <si>
    <r>
      <t>数据来源</t>
    </r>
    <r>
      <rPr>
        <sz val="7"/>
        <rFont val="Segoe UI"/>
        <family val="2"/>
      </rPr>
      <t>：361度2023年年报、2024年年报、2025年年报（港交所披露）</t>
    </r>
  </si>
  <si>
    <t>安踏体育 2023-2025年财报深度分析</t>
  </si>
  <si>
    <t>总收入</t>
  </si>
  <si>
    <t>623.6亿元</t>
  </si>
  <si>
    <t>708.3亿元</t>
  </si>
  <si>
    <t>802.2亿元</t>
  </si>
  <si>
    <t>持平稳健</t>
  </si>
  <si>
    <t>净利润（含Amer利得）</t>
  </si>
  <si>
    <t>102.4亿元</t>
  </si>
  <si>
    <t>156.0亿元</t>
  </si>
  <si>
    <t>135.9亿元</t>
  </si>
  <si>
    <t>经调整净利润</t>
  </si>
  <si>
    <t>109.5亿元</t>
  </si>
  <si>
    <t>117.3亿元</t>
  </si>
  <si>
    <t>123.9亿元</t>
  </si>
  <si>
    <t>净利率（经调整）</t>
  </si>
  <si>
    <t>结构性下降</t>
  </si>
  <si>
    <t>判断：安踏已进入"600亿+俱乐部"，收入增速稳定在13%左右。经调整净利润2025年增长5.6%达124亿，但净利率从17.6%（2023）→15.4%（2025）呈下降趋势，主要因低利润率的其他品牌（Descente/Kolon/MAIA等）占比提升所致。</t>
  </si>
  <si>
    <t>品牌收入结构拆解</t>
  </si>
  <si>
    <t>安踏主品牌</t>
  </si>
  <si>
    <t>303.1亿(48.6%)</t>
  </si>
  <si>
    <t>335.2亿(47.3%)</t>
  </si>
  <si>
    <t>347.5亿(43.3%)</t>
  </si>
  <si>
    <t>FILA</t>
  </si>
  <si>
    <t>251.0亿(40.3%)</t>
  </si>
  <si>
    <t>266.3亿(37.6%)</t>
  </si>
  <si>
    <t>284.7亿(35.5%)</t>
  </si>
  <si>
    <t>其他品牌</t>
  </si>
  <si>
    <t>69.5亿(11.1%)</t>
  </si>
  <si>
    <t>106.8亿(15.1%)</t>
  </si>
  <si>
    <t>170.0亿(21.2%)</t>
  </si>
  <si>
    <t>占比↑↑↑</t>
  </si>
  <si>
    <t>洞察：安踏主品牌和FILA占比逐年下降，"所有其他品牌"从11.1%→21.2%翻倍，2025年已贡献近170亿收入。Descente/Kolon Sport/MAIA ACTIVE等高端品牌高速增长，驱动收入结构高端化。</t>
  </si>
  <si>
    <t>品类结构</t>
  </si>
  <si>
    <t>占比</t>
  </si>
  <si>
    <t>同比</t>
  </si>
  <si>
    <t>服装</t>
  </si>
  <si>
    <t>458.1亿</t>
  </si>
  <si>
    <t>鞋类</t>
  </si>
  <si>
    <t>315.0亿</t>
  </si>
  <si>
    <t>配饰</t>
  </si>
  <si>
    <t>29.1亿</t>
  </si>
  <si>
    <t>渠道结构</t>
  </si>
  <si>
    <t>2025年（安踏分部）</t>
  </si>
  <si>
    <t>128.6亿</t>
  </si>
  <si>
    <t>DTC-直营</t>
  </si>
  <si>
    <t>123.1亿</t>
  </si>
  <si>
    <t>DTC-加盟</t>
  </si>
  <si>
    <t>63.9亿</t>
  </si>
  <si>
    <t>传统批发</t>
  </si>
  <si>
    <t>31.9亿</t>
  </si>
  <si>
    <t>洞察：安踏DTC转型成功，直营+加盟DTC合计占安踏收入53.8%，电商占37%。FILA品牌全部门店为直营。</t>
  </si>
  <si>
    <t>门店规模</t>
  </si>
  <si>
    <t>稳增</t>
  </si>
  <si>
    <t>2,652（含kids/fusion）</t>
  </si>
  <si>
    <t>调整整合</t>
  </si>
  <si>
    <t>DESCENTE</t>
  </si>
  <si>
    <t>扩张</t>
  </si>
  <si>
    <t>KOLON SPORT</t>
  </si>
  <si>
    <t>MAIA ACTIVE</t>
  </si>
  <si>
    <t>安踏儿童</t>
  </si>
  <si>
    <t>578（单独列示）</t>
  </si>
  <si>
    <t>独立运营</t>
  </si>
  <si>
    <t>洞察：安踏主品牌门店稳定在7100+家，Descente/Kolon持续扩张。FILA门店2025年含Kids/Fusion合并披露（实际净关店，从约2000家整合至1900家水平）。</t>
  </si>
  <si>
    <t>高位微降</t>
  </si>
  <si>
    <t>安踏分部</t>
  </si>
  <si>
    <t>~42%</t>
  </si>
  <si>
    <t>FILA分部</t>
  </si>
  <si>
    <t>~70%</t>
  </si>
  <si>
    <t>~69%</t>
  </si>
  <si>
    <t>高端稳定</t>
  </si>
  <si>
    <t>~65%</t>
  </si>
  <si>
    <t>~65%+</t>
  </si>
  <si>
    <t>高端化</t>
  </si>
  <si>
    <t>洞察：综合毛利率维持在62%高位，远高于361度的41.5%。主要来自FILA（69%）和其他高端品牌（65%+）的高毛利支撑。安踏主品牌毛利率约42%，与361度基本持平。</t>
  </si>
  <si>
    <t>品牌层面经营溢利率</t>
  </si>
  <si>
    <t>约20-21%</t>
  </si>
  <si>
    <t>约23-24%</t>
  </si>
  <si>
    <t>约28-30%</t>
  </si>
  <si>
    <t>洞察：FILA经营溢利率从27.6%→25.3%→约23%，呈下降趋势因高基数+消费大环境影响折扣；安踏维持21%左右；其他品牌维持28%+的高水平。</t>
  </si>
  <si>
    <t>2024高点后回落</t>
  </si>
  <si>
    <t>稳定但偏低</t>
  </si>
  <si>
    <t>上升⚠️</t>
  </si>
  <si>
    <t>洞察：安踏研发费用率仅2.7%，远低于361度的3.4%和户外品牌普遍3-5%的水平。广告费用率从9.0%（2024）回落至8.0%，显示费用管控意识。员工成本率持续上升（14.9%→15.3%）需关注。</t>
  </si>
  <si>
    <t>经调整净利率</t>
  </si>
  <si>
    <t>下降⚠️</t>
  </si>
  <si>
    <t>洞察：2024年ROE高达27.6%因Amer Sports上市带来一次性利得。剔除后ROE约21%，仍高于行业平均。经调整净利率从17.6%→15.4%下降2.2pp，主因低利润率的其他品牌收入占比提升摊薄整体利润率。</t>
  </si>
  <si>
    <t>123日</t>
  </si>
  <si>
    <t>137日</t>
  </si>
  <si>
    <t>⚠️ +14日</t>
  </si>
  <si>
    <t>应收款天数</t>
  </si>
  <si>
    <t>20日</t>
  </si>
  <si>
    <t>21日</t>
  </si>
  <si>
    <t>应付款天数</t>
  </si>
  <si>
    <t>47日</t>
  </si>
  <si>
    <t>51日</t>
  </si>
  <si>
    <t>洞察：安踏存货周转天数2025年大幅增加14日至137日，远差于361度的117日。主因高端品牌占比提升（产品更标准化程度低）+ DTC模式下直营门店备货增加。</t>
  </si>
  <si>
    <t>自由现金流入</t>
  </si>
  <si>
    <t>132.5亿元</t>
  </si>
  <si>
    <t>161.1亿元</t>
  </si>
  <si>
    <t>现金净增</t>
  </si>
  <si>
    <t>负债比率</t>
  </si>
  <si>
    <t>洞察：自由现金流充裕（161亿），负债率18.7%适中，财务安全性高。</t>
  </si>
  <si>
    <t>并购动作</t>
  </si>
  <si>
    <t>持有Amer Sports 39.37%（2025年底），2026年3月摊薄至37.77%，带来约16亿非现金利得</t>
  </si>
  <si>
    <t>品牌矩阵</t>
  </si>
  <si>
    <t>安踏/FILA/Descente/Kolon Sport/MAIA ACTIVE/JACK WOLFSKIN全覆盖</t>
  </si>
  <si>
    <t>2025年股息245港仙/股，派息率50.1%</t>
  </si>
  <si>
    <t>海外约240+家门店（安踏+FILA+DESCENTE）</t>
  </si>
  <si>
    <t>洞察：安踏通过"多品牌+高端化"战略，覆盖大众（安踏）→中高端（FILA）→高端户外（Descente/Kolon/Arc'teryx/Salomon）的完整价格带。Amer Sports旗下Arc'teryx/Salomon高速增长，是重要增长引擎。</t>
  </si>
  <si>
    <t>安踏 vs 361度 对标</t>
  </si>
  <si>
    <t>对标结论</t>
  </si>
  <si>
    <t>体量</t>
  </si>
  <si>
    <t>802亿（2025）</t>
  </si>
  <si>
    <t>111亿</t>
  </si>
  <si>
    <t>安踏≈7个361</t>
  </si>
  <si>
    <t>增速</t>
  </si>
  <si>
    <t>安踏更快</t>
  </si>
  <si>
    <t>安踏高20pp（品牌溢价）</t>
  </si>
  <si>
    <t>15.4%（经调整）</t>
  </si>
  <si>
    <t>安踏高3.7pp</t>
  </si>
  <si>
    <t>安踏更高</t>
  </si>
  <si>
    <t>361度更快</t>
  </si>
  <si>
    <t>361度更重视研发</t>
  </si>
  <si>
    <t>361度更依赖营销</t>
  </si>
  <si>
    <t>国际业务占比</t>
  </si>
  <si>
    <t>~3%（240家海外门店）</t>
  </si>
  <si>
    <t>~10%（1253家）</t>
  </si>
  <si>
    <t>361度国际化更激进</t>
  </si>
  <si>
    <t>品牌结构</t>
  </si>
  <si>
    <t>多品牌高端化</t>
  </si>
  <si>
    <t>单品牌多品类</t>
  </si>
  <si>
    <t>不同战略路径</t>
  </si>
  <si>
    <t>安踏三大核心洞察</t>
  </si>
  <si>
    <t>"多品牌航母"战略成型：从安踏单品牌→安踏+FILA+高端户外矩阵，收入从624亿→802亿，但净利率从17.6%→15.4%下降，因低利润率高端品牌占比提升</t>
  </si>
  <si>
    <t>FILA高增长红利接近尾声：FILA收入增长从+30%→+6.1%→+6.9%，经营溢利率从27.6%→约23%，进入成熟期</t>
  </si>
  <si>
    <t>Amer Sports是核心增长引擎：Arc'teryx/Salomon等高端户外品牌驱动"其他品牌"收入2025年+59.2%，是唯一增速加速的业务板块</t>
  </si>
  <si>
    <t>安踏风险点</t>
  </si>
  <si>
    <t>风险</t>
  </si>
  <si>
    <t>描述</t>
  </si>
  <si>
    <t>净利率下降</t>
  </si>
  <si>
    <t>低利润率高端品牌占比提升摊薄整体利润率</t>
  </si>
  <si>
    <t>存货周转恶化</t>
  </si>
  <si>
    <t>从123日→137日，DTC模式下直营备货增加</t>
  </si>
  <si>
    <t>FILA增长放缓</t>
  </si>
  <si>
    <t>从高增长进入个位数增长</t>
  </si>
  <si>
    <t>研发投入偏低</t>
  </si>
  <si>
    <t>研发费用率仅2.7%，低于行业平均</t>
  </si>
  <si>
    <t>中国</t>
  </si>
  <si>
    <t>MCN</t>
  </si>
  <si>
    <t>企业国别</t>
  </si>
  <si>
    <t>对应核心品牌</t>
  </si>
  <si>
    <t>Nike（耐克）、Converse（匡威）、Jordan（乔丹）</t>
  </si>
  <si>
    <t>Adidas（阿迪达斯）、Reebok（锐步）、TaylorMade、Y-3</t>
  </si>
  <si>
    <t>ASICS（亚瑟士）、Onitsuka Tiger（鬼塚虎）</t>
  </si>
  <si>
    <t>Amer Sports（亚玛芬），旗下完整品牌：Arc'teryx（始祖鸟）、Salomon（萨洛蒙）、Wilson（威尔胜）、Atomic（阿托米克滑雪）、Peak Performance（壁克峰）、Suunto（颂拓户外腕表）、MAVIC、DEMARINI、Louisville Slugger、Rawlings、ARMADA、Glashütte Original</t>
  </si>
  <si>
    <t>Columbia（哥伦比亚）、Mountain Hardwear、Sorel、Prana</t>
  </si>
  <si>
    <t>Giant（捷安特）、Liv（女性系列）、Momentum</t>
  </si>
  <si>
    <t>Callaway（卡拉威）、Topgolf、Odyssey、TravisMathew、OGIO、Jack Wolfskin（狼爪）、Toptracer、WGT</t>
  </si>
  <si>
    <t>VF Corporation（威富集团），旗下完整品牌：The North Face（北面）、Vans（万斯）、Timberland（添柏岚）、Altra、icebreaker、JanSport、Kipling、Napapijri、Smartwool、Eastpak、Reef</t>
  </si>
  <si>
    <t>361°、361° 儿童、OneWay（滑雪）</t>
  </si>
  <si>
    <t>LI-NING（李宁）、LI-NING 1990、AIGLE 中国独家、Danskin、Saucony（索康尼）、Clarks（部分业务）</t>
  </si>
  <si>
    <t>ANTA（安踏）、FILA（斐乐）、FILA FUSION、FILA Kids、Descente（迪桑特）、Salomon 中国独家、Arc'teryx 中国独家、KOLON SPORT、Sprandi、Wilson 中国、始祖鸟儿童、可隆</t>
  </si>
  <si>
    <t>TOREAD（探路者）、TIEF、Discovery Expedition、阿肯诺</t>
  </si>
  <si>
    <t>XTEP（特步）、XTEP KIDS、索康尼（部分渠道）、迈乐 Merrell、盖世威 K-Swiss</t>
  </si>
  <si>
    <t>Biemlfdlkk（比音勒芬）、威尼斯假日</t>
  </si>
  <si>
    <t>Mobi Garden（牧高笛）、Mobi Kids</t>
  </si>
  <si>
    <t>TOPSPORTS（滔搏，渠道集团）：代理 Nike、Adidas、Puma、Converse、Vans、The North Face、Timberland、ASICS、Onitsuka Tiger、Skechers、Reebok、Norda、Soar、Ciele Athletics 等；自有零售渠道 TOPSNEAKER</t>
  </si>
  <si>
    <t>UNIQLO（优衣库）、GU（极优）（迅销 Fast Retailing 集团）</t>
  </si>
  <si>
    <t>ZARA、Pull&amp;Bear、Massimo Dutti、Bershka、Stradivarius、Oysho、Uterque、ZARA HOME、Lefties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</si>
</sst>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%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微软雅黑"/>
      <family val="2"/>
      <charset val="134"/>
    </font>
    <font>
      <sz val="11"/>
      <color rgb="FF000000"/>
      <name val="宋体"/>
      <family val="2"/>
      <charset val="134"/>
    </font>
    <font>
      <sz val="11"/>
      <color rgb="FF000000"/>
      <name val="Calibri"/>
      <family val="2"/>
      <charset val="134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8"/>
      <color rgb="FF171717"/>
      <name val="Ui-sans-serif"/>
      <family val="2"/>
    </font>
    <font>
      <sz val="8"/>
      <color rgb="FF171717"/>
      <name val="Arial"/>
      <family val="2"/>
    </font>
    <font>
      <b/>
      <sz val="12"/>
      <color rgb="FF24292F"/>
      <name val="Noto Sans SC"/>
      <family val="2"/>
      <charset val="134"/>
    </font>
    <font>
      <sz val="12"/>
      <color rgb="FFFFFFFF"/>
      <name val="Noto Sans SC"/>
      <family val="2"/>
      <charset val="134"/>
    </font>
    <font>
      <sz val="12"/>
      <color rgb="FF24292F"/>
      <name val="Noto Sans SC"/>
      <family val="2"/>
      <charset val="134"/>
    </font>
    <font>
      <sz val="11"/>
      <color theme="1"/>
      <name val="Calibri"/>
      <family val="3"/>
      <charset val="134"/>
      <scheme val="minor"/>
    </font>
    <font>
      <sz val="12"/>
      <color rgb="FF0F1115"/>
      <name val="Segoe UI"/>
      <family val="2"/>
    </font>
    <font>
      <sz val="12"/>
      <color rgb="FF0F1115"/>
      <name val="Segoe UI"/>
      <family val="2"/>
    </font>
    <font>
      <b/>
      <sz val="11"/>
      <color theme="1"/>
      <name val="Calibri"/>
      <family val="3"/>
      <charset val="134"/>
      <scheme val="minor"/>
    </font>
    <font>
      <b/>
      <sz val="11"/>
      <color rgb="FFFFFFFF"/>
      <name val="Calibri"/>
      <family val="2"/>
    </font>
    <font>
      <b/>
      <sz val="11"/>
      <color rgb="FFFFFFFF"/>
      <name val="宋体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3"/>
      <charset val="134"/>
      <scheme val="minor"/>
    </font>
    <font>
      <b/>
      <sz val="24"/>
      <name val="Segoe UI"/>
      <family val="2"/>
    </font>
    <font>
      <sz val="11"/>
      <name val="Calibri"/>
      <family val="2"/>
      <scheme val="minor"/>
    </font>
    <font>
      <b/>
      <sz val="18"/>
      <name val="Segoe UI"/>
      <family val="2"/>
    </font>
    <font>
      <b/>
      <sz val="13.5"/>
      <name val="Segoe UI"/>
      <family val="2"/>
    </font>
    <font>
      <b/>
      <sz val="7"/>
      <name val="Segoe UI"/>
      <family val="2"/>
    </font>
    <font>
      <sz val="7"/>
      <name val="Segoe UI"/>
      <family val="2"/>
    </font>
    <font>
      <b/>
      <sz val="24"/>
      <color theme="1"/>
      <name val="-apple-system"/>
    </font>
    <font>
      <b/>
      <sz val="18"/>
      <color theme="1"/>
      <name val="-apple-system"/>
    </font>
    <font>
      <b/>
      <sz val="14"/>
      <color theme="1"/>
      <name val="-apple-system"/>
    </font>
    <font>
      <b/>
      <sz val="10"/>
      <color theme="1"/>
      <name val="-apple-system"/>
    </font>
    <font>
      <sz val="10"/>
      <color theme="1"/>
      <name val="-apple-system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13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1" applyFont="1"/>
    <xf numFmtId="165" fontId="0" fillId="0" borderId="0" xfId="1" applyNumberFormat="1" applyFont="1"/>
    <xf numFmtId="164" fontId="0" fillId="0" borderId="0" xfId="0" applyNumberFormat="1"/>
    <xf numFmtId="164" fontId="0" fillId="0" borderId="0" xfId="0" pivotButton="1" applyNumberFormat="1"/>
    <xf numFmtId="0" fontId="4" fillId="0" borderId="0" xfId="0" applyFont="1"/>
    <xf numFmtId="14" fontId="4" fillId="0" borderId="0" xfId="0" applyNumberFormat="1" applyFont="1"/>
    <xf numFmtId="164" fontId="4" fillId="0" borderId="0" xfId="1" applyNumberFormat="1" applyFont="1"/>
    <xf numFmtId="0" fontId="7" fillId="0" borderId="0" xfId="0" applyFont="1"/>
    <xf numFmtId="0" fontId="6" fillId="0" borderId="0" xfId="0" applyFont="1"/>
    <xf numFmtId="10" fontId="4" fillId="0" borderId="0" xfId="0" applyNumberFormat="1" applyFont="1"/>
    <xf numFmtId="43" fontId="0" fillId="0" borderId="0" xfId="0" applyNumberFormat="1"/>
    <xf numFmtId="0" fontId="5" fillId="0" borderId="0" xfId="0" applyFont="1"/>
    <xf numFmtId="0" fontId="10" fillId="3" borderId="0" xfId="0" applyFont="1" applyFill="1" applyBorder="1" applyAlignment="1">
      <alignment wrapText="1"/>
    </xf>
    <xf numFmtId="0" fontId="10" fillId="0" borderId="0" xfId="0" applyFont="1" applyBorder="1" applyAlignment="1">
      <alignment wrapText="1"/>
    </xf>
    <xf numFmtId="0" fontId="11" fillId="0" borderId="0" xfId="0" applyFont="1" applyBorder="1"/>
    <xf numFmtId="0" fontId="12" fillId="3" borderId="0" xfId="0" applyFont="1" applyFill="1" applyBorder="1" applyAlignment="1">
      <alignment wrapText="1"/>
    </xf>
    <xf numFmtId="0" fontId="12" fillId="4" borderId="0" xfId="0" applyFont="1" applyFill="1" applyBorder="1" applyAlignment="1">
      <alignment wrapText="1"/>
    </xf>
    <xf numFmtId="0" fontId="12" fillId="3" borderId="0" xfId="0" applyFont="1" applyFill="1" applyBorder="1" applyAlignment="1">
      <alignment horizontal="right" wrapText="1"/>
    </xf>
    <xf numFmtId="0" fontId="12" fillId="5" borderId="0" xfId="0" applyFont="1" applyFill="1" applyBorder="1" applyAlignment="1">
      <alignment wrapText="1"/>
    </xf>
    <xf numFmtId="0" fontId="13" fillId="0" borderId="0" xfId="0" applyFont="1" applyBorder="1" applyAlignment="1">
      <alignment wrapText="1"/>
    </xf>
    <xf numFmtId="0" fontId="12" fillId="0" borderId="0" xfId="0" applyFont="1" applyBorder="1" applyAlignment="1">
      <alignment wrapText="1"/>
    </xf>
    <xf numFmtId="0" fontId="12" fillId="6" borderId="0" xfId="0" applyFont="1" applyFill="1" applyBorder="1" applyAlignment="1">
      <alignment wrapText="1"/>
    </xf>
    <xf numFmtId="0" fontId="9" fillId="0" borderId="0" xfId="0" applyFont="1" applyBorder="1" applyAlignment="1"/>
    <xf numFmtId="0" fontId="0" fillId="0" borderId="0" xfId="0" applyBorder="1"/>
    <xf numFmtId="0" fontId="14" fillId="3" borderId="0" xfId="0" applyFont="1" applyFill="1" applyBorder="1" applyAlignment="1">
      <alignment vertical="center"/>
    </xf>
    <xf numFmtId="0" fontId="15" fillId="7" borderId="0" xfId="0" applyFont="1" applyFill="1" applyBorder="1" applyAlignment="1"/>
    <xf numFmtId="0" fontId="9" fillId="0" borderId="0" xfId="0" applyFont="1" applyBorder="1" applyAlignment="1">
      <alignment horizontal="right"/>
    </xf>
    <xf numFmtId="0" fontId="16" fillId="0" borderId="0" xfId="0" applyFont="1" applyBorder="1" applyAlignment="1"/>
    <xf numFmtId="0" fontId="16" fillId="0" borderId="0" xfId="0" applyFont="1" applyBorder="1" applyAlignment="1">
      <alignment vertical="center"/>
    </xf>
    <xf numFmtId="0" fontId="9" fillId="3" borderId="0" xfId="0" applyFont="1" applyFill="1" applyBorder="1" applyAlignment="1"/>
    <xf numFmtId="0" fontId="9" fillId="7" borderId="0" xfId="0" applyFont="1" applyFill="1" applyBorder="1" applyAlignme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20" fillId="0" borderId="0" xfId="0" applyFont="1" applyAlignment="1">
      <alignment horizontal="left" vertical="center" indent="1"/>
    </xf>
    <xf numFmtId="0" fontId="0" fillId="8" borderId="0" xfId="0" applyFill="1"/>
    <xf numFmtId="164" fontId="0" fillId="8" borderId="0" xfId="1" applyNumberFormat="1" applyFont="1" applyFill="1"/>
    <xf numFmtId="9" fontId="0" fillId="0" borderId="0" xfId="2" applyFont="1" applyAlignment="1"/>
    <xf numFmtId="166" fontId="0" fillId="0" borderId="0" xfId="2" applyNumberFormat="1" applyFont="1" applyAlignment="1"/>
    <xf numFmtId="0" fontId="20" fillId="0" borderId="3" xfId="0" applyFont="1" applyBorder="1" applyAlignment="1">
      <alignment horizontal="center" vertical="center" wrapText="1"/>
    </xf>
    <xf numFmtId="0" fontId="20" fillId="0" borderId="0" xfId="0" applyFont="1"/>
    <xf numFmtId="0" fontId="0" fillId="0" borderId="0" xfId="0" applyAlignment="1">
      <alignment horizontal="center"/>
    </xf>
    <xf numFmtId="0" fontId="20" fillId="0" borderId="3" xfId="0" applyFont="1" applyBorder="1" applyAlignment="1">
      <alignment horizontal="center"/>
    </xf>
    <xf numFmtId="164" fontId="20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0" fillId="0" borderId="3" xfId="2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6" fontId="20" fillId="0" borderId="3" xfId="2" applyNumberFormat="1" applyFont="1" applyBorder="1" applyAlignment="1">
      <alignment horizontal="center"/>
    </xf>
    <xf numFmtId="0" fontId="0" fillId="0" borderId="0" xfId="0" applyAlignment="1"/>
    <xf numFmtId="49" fontId="0" fillId="0" borderId="3" xfId="1" applyNumberFormat="1" applyFont="1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66" fontId="0" fillId="0" borderId="3" xfId="2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66" fontId="17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0" fontId="21" fillId="9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10" fontId="4" fillId="8" borderId="3" xfId="0" applyNumberFormat="1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10" fontId="4" fillId="10" borderId="3" xfId="0" applyNumberFormat="1" applyFont="1" applyFill="1" applyBorder="1" applyAlignment="1">
      <alignment horizontal="center"/>
    </xf>
    <xf numFmtId="0" fontId="21" fillId="9" borderId="5" xfId="0" applyFont="1" applyFill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10" fontId="23" fillId="8" borderId="3" xfId="0" applyNumberFormat="1" applyFont="1" applyFill="1" applyBorder="1" applyAlignment="1">
      <alignment horizontal="center"/>
    </xf>
    <xf numFmtId="0" fontId="0" fillId="10" borderId="4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166" fontId="0" fillId="0" borderId="0" xfId="0" applyNumberFormat="1"/>
    <xf numFmtId="165" fontId="0" fillId="0" borderId="0" xfId="0" applyNumberFormat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166" fontId="7" fillId="0" borderId="0" xfId="2" applyNumberFormat="1" applyFont="1" applyAlignment="1"/>
    <xf numFmtId="166" fontId="4" fillId="0" borderId="0" xfId="2" applyNumberFormat="1" applyFont="1" applyAlignment="1"/>
    <xf numFmtId="165" fontId="8" fillId="2" borderId="1" xfId="0" applyNumberFormat="1" applyFont="1" applyFill="1" applyBorder="1"/>
    <xf numFmtId="165" fontId="8" fillId="2" borderId="2" xfId="0" applyNumberFormat="1" applyFont="1" applyFill="1" applyBorder="1" applyAlignment="1">
      <alignment horizontal="left"/>
    </xf>
    <xf numFmtId="165" fontId="8" fillId="2" borderId="2" xfId="0" applyNumberFormat="1" applyFont="1" applyFill="1" applyBorder="1"/>
    <xf numFmtId="0" fontId="0" fillId="0" borderId="0" xfId="0" applyAlignment="1">
      <alignment horizontal="right"/>
    </xf>
    <xf numFmtId="0" fontId="24" fillId="0" borderId="3" xfId="0" applyFont="1" applyBorder="1" applyAlignment="1">
      <alignment horizontal="center"/>
    </xf>
    <xf numFmtId="165" fontId="25" fillId="0" borderId="3" xfId="1" applyNumberFormat="1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4" fillId="0" borderId="0" xfId="0" applyFont="1" applyFill="1"/>
    <xf numFmtId="0" fontId="0" fillId="0" borderId="0" xfId="0" applyFill="1"/>
    <xf numFmtId="0" fontId="6" fillId="0" borderId="0" xfId="0" applyFont="1" applyFill="1"/>
    <xf numFmtId="0" fontId="8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6" fillId="0" borderId="0" xfId="0" applyFont="1" applyFill="1" applyAlignment="1">
      <alignment vertical="center"/>
    </xf>
    <xf numFmtId="0" fontId="27" fillId="0" borderId="0" xfId="0" applyFont="1" applyFill="1" applyAlignment="1"/>
    <xf numFmtId="0" fontId="28" fillId="0" borderId="0" xfId="0" applyFont="1" applyFill="1" applyAlignment="1">
      <alignment vertical="center"/>
    </xf>
    <xf numFmtId="0" fontId="29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  <xf numFmtId="0" fontId="27" fillId="0" borderId="0" xfId="0" applyFont="1" applyFill="1" applyAlignment="1">
      <alignment horizontal="left" vertical="center"/>
    </xf>
    <xf numFmtId="0" fontId="30" fillId="0" borderId="0" xfId="0" applyFont="1" applyFill="1" applyAlignment="1">
      <alignment horizontal="left" vertical="center"/>
    </xf>
    <xf numFmtId="0" fontId="31" fillId="0" borderId="0" xfId="0" applyFont="1" applyFill="1" applyAlignment="1">
      <alignment horizontal="left" vertical="center"/>
    </xf>
    <xf numFmtId="0" fontId="32" fillId="0" borderId="0" xfId="0" applyFont="1" applyBorder="1" applyAlignment="1">
      <alignment vertical="center"/>
    </xf>
    <xf numFmtId="0" fontId="9" fillId="0" borderId="0" xfId="0" applyFont="1" applyBorder="1" applyAlignment="1">
      <alignment wrapText="1"/>
    </xf>
    <xf numFmtId="0" fontId="33" fillId="0" borderId="0" xfId="0" applyFont="1" applyBorder="1" applyAlignment="1">
      <alignment vertical="center"/>
    </xf>
    <xf numFmtId="0" fontId="34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 wrapText="1"/>
    </xf>
    <xf numFmtId="0" fontId="36" fillId="0" borderId="0" xfId="0" applyFont="1" applyBorder="1" applyAlignment="1">
      <alignment vertical="center"/>
    </xf>
    <xf numFmtId="0" fontId="35" fillId="0" borderId="0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wrapText="1"/>
    </xf>
    <xf numFmtId="0" fontId="36" fillId="0" borderId="3" xfId="0" applyFont="1" applyBorder="1" applyAlignment="1">
      <alignment wrapText="1"/>
    </xf>
    <xf numFmtId="0" fontId="36" fillId="0" borderId="3" xfId="0" applyFont="1" applyBorder="1" applyAlignment="1">
      <alignment horizontal="right" wrapText="1"/>
    </xf>
    <xf numFmtId="10" fontId="36" fillId="0" borderId="3" xfId="0" applyNumberFormat="1" applyFont="1" applyBorder="1" applyAlignment="1">
      <alignment horizontal="right" wrapText="1"/>
    </xf>
    <xf numFmtId="0" fontId="35" fillId="0" borderId="3" xfId="0" applyFont="1" applyBorder="1" applyAlignment="1">
      <alignment horizontal="center"/>
    </xf>
    <xf numFmtId="0" fontId="36" fillId="0" borderId="3" xfId="0" applyFont="1" applyBorder="1" applyAlignment="1"/>
    <xf numFmtId="0" fontId="34" fillId="0" borderId="0" xfId="0" applyFont="1" applyBorder="1" applyAlignment="1"/>
    <xf numFmtId="0" fontId="35" fillId="0" borderId="0" xfId="0" applyFont="1" applyBorder="1" applyAlignment="1">
      <alignment horizontal="center"/>
    </xf>
    <xf numFmtId="0" fontId="36" fillId="0" borderId="0" xfId="0" applyFont="1" applyBorder="1" applyAlignment="1"/>
    <xf numFmtId="3" fontId="36" fillId="0" borderId="3" xfId="0" applyNumberFormat="1" applyFont="1" applyBorder="1" applyAlignment="1">
      <alignment horizontal="right" wrapText="1"/>
    </xf>
    <xf numFmtId="0" fontId="36" fillId="0" borderId="3" xfId="0" applyFont="1" applyBorder="1" applyAlignment="1">
      <alignment vertical="center"/>
    </xf>
    <xf numFmtId="0" fontId="30" fillId="0" borderId="3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vertical="center"/>
    </xf>
    <xf numFmtId="10" fontId="31" fillId="0" borderId="3" xfId="0" applyNumberFormat="1" applyFont="1" applyFill="1" applyBorder="1" applyAlignment="1">
      <alignment vertical="center"/>
    </xf>
    <xf numFmtId="0" fontId="30" fillId="0" borderId="3" xfId="0" applyFont="1" applyFill="1" applyBorder="1" applyAlignment="1">
      <alignment vertical="center"/>
    </xf>
    <xf numFmtId="10" fontId="30" fillId="0" borderId="3" xfId="0" applyNumberFormat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114"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5" formatCode="_(* #,##0.0_);_(* \(#,##0.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6" formatCode="0.0%"/>
    </dxf>
  </dxfs>
  <tableStyles count="0" defaultTableStyle="TableStyleMedium9" defaultPivotStyle="PivotStyleLight16"/>
  <colors>
    <mruColors>
      <color rgb="FF4F81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'1.1 Revenue'!$A$15</c:f>
              <c:strCache>
                <c:ptCount val="1"/>
                <c:pt idx="0">
                  <c:v>2. 品牌营收表现</c:v>
                </c:pt>
              </c:strCache>
            </c:strRef>
          </c:tx>
          <c:spPr>
            <a:solidFill>
              <a:srgbClr val="4F81BD">
                <a:alpha val="50196"/>
              </a:srgbClr>
            </a:solidFill>
            <a:ln w="28575"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682E7E9-6466-4170-A9E8-CF735F17614C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4F-4EF6-8ABE-F279FBD4A9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ACD769-A8AD-46FE-A16E-6A80DEBCE8F7}" type="CELLRANGE">
                      <a:rPr lang="en-US" altLang="zh-CN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4F-4EF6-8ABE-F279FBD4A9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E8C5AC-3CEC-4F44-AF55-3B2E795A3F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24F-4EF6-8ABE-F279FBD4A91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C801BED-230C-4831-837D-5D50ACD993E0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24F-4EF6-8ABE-F279FBD4A91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2FCE3F-506B-46BA-931B-BF3D53C69E2E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24F-4EF6-8ABE-F279FBD4A91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7B58B88-1D03-4E12-8054-7E2A3116C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24F-4EF6-8ABE-F279FBD4A9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F4AEA4-1E06-4F3D-9BD6-F7B95481E6AA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24F-4EF6-8ABE-F279FBD4A9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AEC2FFE-6466-4ECE-A0F0-B177CB071FB0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C24F-4EF6-8ABE-F279FBD4A91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3FEA2B1-9C9D-4CDA-8E1B-F3FCCB3CCCC8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C24F-4EF6-8ABE-F279FBD4A91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914A3F5-3D0A-4E3C-86B8-A1A47F239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24F-4EF6-8ABE-F279FBD4A91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6ADAA52-C55D-4771-810C-C7D3A2FE122B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24F-4EF6-8ABE-F279FBD4A91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24F-4EF6-8ABE-F279FBD4A91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228F14-81A9-443B-A2FE-EEDFDAB4F848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C24F-4EF6-8ABE-F279FBD4A91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F09BE7F-BDFF-4C7F-8B74-0B4E8220C23F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24F-4EF6-8ABE-F279FBD4A91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777456B-CCA6-4CB0-BBFB-F8867C3CB2B3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C24F-4EF6-8ABE-F279FBD4A91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A390DA-C927-4815-BDCB-045B4BA7B8D7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C24F-4EF6-8ABE-F279FBD4A91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55A242B-E9E1-4F9D-A84C-667739ED9317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C24F-4EF6-8ABE-F279FBD4A91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B3851D5-28BD-4712-9BCE-E8F72DBA0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24F-4EF6-8ABE-F279FBD4A91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9EA14DC-4037-4878-86B1-5E04DD87CE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24F-4EF6-8ABE-F279FBD4A91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BF3A8C3-8D48-4035-B7BB-E7500E924B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24F-4EF6-8ABE-F279FBD4A91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F2B30CB-791B-4E90-B634-6B6CD84B057F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C24F-4EF6-8ABE-F279FBD4A91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5ABC2ED-AFD6-4501-8CE3-DC153F4F7EAD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C24F-4EF6-8ABE-F279FBD4A91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99ED71F-BBEF-4BA2-8CA1-79A08FD14239}" type="CELLRANGE">
                      <a:rPr lang="zh-CN" alt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C24F-4EF6-8ABE-F279FBD4A91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7F1B923-B20E-4898-90AD-E6011E8F22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24F-4EF6-8ABE-F279FBD4A91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B0F13F11-9A1F-4D3B-AC14-7C93807F08F8}" type="CELLRANGE">
                      <a:rPr lang="en-US" altLang="zh-CN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C24F-4EF6-8ABE-F279FBD4A91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B6E0E5F-2582-4B64-9184-52D4DE9F9C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4AD-4E4B-A2BA-997BFFD0D5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'1.1 Revenue'!$B$19:$B$44</c:f>
              <c:numCache>
                <c:formatCode>0.0%</c:formatCode>
                <c:ptCount val="26"/>
                <c:pt idx="0">
                  <c:v>0.13583295913785354</c:v>
                </c:pt>
                <c:pt idx="1">
                  <c:v>4.0976821192052926E-2</c:v>
                </c:pt>
                <c:pt idx="2">
                  <c:v>-9.1743119266054496E-3</c:v>
                </c:pt>
                <c:pt idx="3">
                  <c:v>3.9060801507355691E-2</c:v>
                </c:pt>
                <c:pt idx="4">
                  <c:v>6.8702628429590851E-2</c:v>
                </c:pt>
                <c:pt idx="5">
                  <c:v>8.4326018808777325E-2</c:v>
                </c:pt>
                <c:pt idx="6">
                  <c:v>6.5471752897692026E-2</c:v>
                </c:pt>
                <c:pt idx="7">
                  <c:v>1.3854128660038212E-2</c:v>
                </c:pt>
                <c:pt idx="8">
                  <c:v>0.19591625899577791</c:v>
                </c:pt>
                <c:pt idx="9">
                  <c:v>0.41252697767078939</c:v>
                </c:pt>
                <c:pt idx="10">
                  <c:v>0.53657670454545459</c:v>
                </c:pt>
                <c:pt idx="11">
                  <c:v>-8.5005249749720013E-3</c:v>
                </c:pt>
                <c:pt idx="12">
                  <c:v>7.4583513615814612E-2</c:v>
                </c:pt>
                <c:pt idx="13">
                  <c:v>5.7771482713748767E-2</c:v>
                </c:pt>
                <c:pt idx="14">
                  <c:v>3.7444177258673994E-2</c:v>
                </c:pt>
                <c:pt idx="15">
                  <c:v>7.8280769230769209E-2</c:v>
                </c:pt>
                <c:pt idx="16">
                  <c:v>0.13244146752349506</c:v>
                </c:pt>
                <c:pt idx="17">
                  <c:v>0.30494781843329566</c:v>
                </c:pt>
                <c:pt idx="18">
                  <c:v>-8.3286332017296516E-2</c:v>
                </c:pt>
                <c:pt idx="19">
                  <c:v>1.0184746565608638E-2</c:v>
                </c:pt>
                <c:pt idx="20">
                  <c:v>0.84408221119773219</c:v>
                </c:pt>
                <c:pt idx="21">
                  <c:v>0.94482986455236206</c:v>
                </c:pt>
                <c:pt idx="22">
                  <c:v>0.15493153059455711</c:v>
                </c:pt>
                <c:pt idx="23">
                  <c:v>0.14444316477120256</c:v>
                </c:pt>
                <c:pt idx="25">
                  <c:v>9.1583360206385134E-2</c:v>
                </c:pt>
              </c:numCache>
            </c:numRef>
          </c:xVal>
          <c:yVal>
            <c:numRef>
              <c:f>'1.1 Revenue'!$C$19:$C$44</c:f>
              <c:numCache>
                <c:formatCode>0.0%</c:formatCode>
                <c:ptCount val="26"/>
                <c:pt idx="0">
                  <c:v>0.13262078897579976</c:v>
                </c:pt>
                <c:pt idx="1">
                  <c:v>-0.12710404241219353</c:v>
                </c:pt>
                <c:pt idx="2">
                  <c:v>-2.5673400673400626E-2</c:v>
                </c:pt>
                <c:pt idx="3">
                  <c:v>3.2152322499651387E-2</c:v>
                </c:pt>
                <c:pt idx="4">
                  <c:v>-6.6370121521297287E-2</c:v>
                </c:pt>
                <c:pt idx="5">
                  <c:v>4.7412546978895742E-2</c:v>
                </c:pt>
                <c:pt idx="6">
                  <c:v>4.2269392805585726E-2</c:v>
                </c:pt>
                <c:pt idx="7">
                  <c:v>-1.3714719495608763E-2</c:v>
                </c:pt>
                <c:pt idx="8">
                  <c:v>0.10644939053021241</c:v>
                </c:pt>
                <c:pt idx="9">
                  <c:v>0.28902615590408542</c:v>
                </c:pt>
                <c:pt idx="10">
                  <c:v>0.43432709344426468</c:v>
                </c:pt>
                <c:pt idx="12">
                  <c:v>-0.37084726944058288</c:v>
                </c:pt>
                <c:pt idx="13">
                  <c:v>-0.13468435394876854</c:v>
                </c:pt>
                <c:pt idx="14">
                  <c:v>-0.19139072847682115</c:v>
                </c:pt>
                <c:pt idx="15">
                  <c:v>8.9963367611546774E-2</c:v>
                </c:pt>
                <c:pt idx="16">
                  <c:v>7.7275681975780941E-2</c:v>
                </c:pt>
                <c:pt idx="17">
                  <c:v>0.19421626960229332</c:v>
                </c:pt>
                <c:pt idx="18">
                  <c:v>-0.25533223954060702</c:v>
                </c:pt>
                <c:pt idx="19">
                  <c:v>0.16834701055099655</c:v>
                </c:pt>
                <c:pt idx="20">
                  <c:v>0.96425826287471184</c:v>
                </c:pt>
                <c:pt idx="21">
                  <c:v>0.58145065398335305</c:v>
                </c:pt>
                <c:pt idx="22">
                  <c:v>6.1145464369334324E-2</c:v>
                </c:pt>
                <c:pt idx="23">
                  <c:v>-0.13249427658678936</c:v>
                </c:pt>
                <c:pt idx="24">
                  <c:v>3.6087055995750239E-2</c:v>
                </c:pt>
                <c:pt idx="25">
                  <c:v>-3.9586410635155111E-2</c:v>
                </c:pt>
              </c:numCache>
            </c:numRef>
          </c:yVal>
          <c:bubbleSize>
            <c:numRef>
              <c:f>'1.1 Revenue'!$D$19:$D$44</c:f>
              <c:numCache>
                <c:formatCode>_(* #,##0_);_(* \(#,##0\);_(* "-"??_);_(@_)</c:formatCode>
                <c:ptCount val="26"/>
                <c:pt idx="0">
                  <c:v>80219000</c:v>
                </c:pt>
                <c:pt idx="1">
                  <c:v>47419200</c:v>
                </c:pt>
                <c:pt idx="2">
                  <c:v>36114000</c:v>
                </c:pt>
                <c:pt idx="3">
                  <c:v>29598000</c:v>
                </c:pt>
                <c:pt idx="4">
                  <c:v>27012900</c:v>
                </c:pt>
                <c:pt idx="5">
                  <c:v>28259400</c:v>
                </c:pt>
                <c:pt idx="6">
                  <c:v>14151100</c:v>
                </c:pt>
                <c:pt idx="7">
                  <c:v>10102989.6</c:v>
                </c:pt>
                <c:pt idx="8">
                  <c:v>11145829</c:v>
                </c:pt>
                <c:pt idx="9">
                  <c:v>12634552.800000001</c:v>
                </c:pt>
                <c:pt idx="10">
                  <c:v>13405680</c:v>
                </c:pt>
                <c:pt idx="12">
                  <c:v>4478649.47</c:v>
                </c:pt>
                <c:pt idx="13">
                  <c:v>5439146.4000000004</c:v>
                </c:pt>
                <c:pt idx="14">
                  <c:v>3809520</c:v>
                </c:pt>
                <c:pt idx="15">
                  <c:v>4400272.8</c:v>
                </c:pt>
                <c:pt idx="16">
                  <c:v>4313910.9539999999</c:v>
                </c:pt>
                <c:pt idx="17">
                  <c:v>3932816</c:v>
                </c:pt>
                <c:pt idx="18">
                  <c:v>2614320</c:v>
                </c:pt>
                <c:pt idx="19">
                  <c:v>2740650</c:v>
                </c:pt>
                <c:pt idx="20">
                  <c:v>4139910</c:v>
                </c:pt>
                <c:pt idx="21">
                  <c:v>2793000</c:v>
                </c:pt>
                <c:pt idx="22">
                  <c:v>1696848</c:v>
                </c:pt>
                <c:pt idx="23">
                  <c:v>1380713.0959999999</c:v>
                </c:pt>
                <c:pt idx="24">
                  <c:v>787967</c:v>
                </c:pt>
                <c:pt idx="25">
                  <c:v>31158400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'1.1 Revenue'!$A$19:$A$44</c15:f>
                <c15:dlblRangeCache>
                  <c:ptCount val="26"/>
                  <c:pt idx="0">
                    <c:v>安踏</c:v>
                  </c:pt>
                  <c:pt idx="1">
                    <c:v>Nike</c:v>
                  </c:pt>
                  <c:pt idx="2">
                    <c:v>Inditex</c:v>
                  </c:pt>
                  <c:pt idx="3">
                    <c:v>李宁</c:v>
                  </c:pt>
                  <c:pt idx="4">
                    <c:v>滔搏</c:v>
                  </c:pt>
                  <c:pt idx="5">
                    <c:v>Adidas</c:v>
                  </c:pt>
                  <c:pt idx="6">
                    <c:v>特步</c:v>
                  </c:pt>
                  <c:pt idx="7">
                    <c:v>威富集团</c:v>
                  </c:pt>
                  <c:pt idx="8">
                    <c:v>361度</c:v>
                  </c:pt>
                  <c:pt idx="9">
                    <c:v>Lululemon</c:v>
                  </c:pt>
                  <c:pt idx="10">
                    <c:v>亚玛芬</c:v>
                  </c:pt>
                  <c:pt idx="11">
                    <c:v>斯凯奇</c:v>
                  </c:pt>
                  <c:pt idx="12">
                    <c:v>捷安特</c:v>
                  </c:pt>
                  <c:pt idx="13">
                    <c:v>安德玛</c:v>
                  </c:pt>
                  <c:pt idx="14">
                    <c:v>彪马</c:v>
                  </c:pt>
                  <c:pt idx="15">
                    <c:v>哥伦比亚</c:v>
                  </c:pt>
                  <c:pt idx="16">
                    <c:v>比音勒芬</c:v>
                  </c:pt>
                  <c:pt idx="17">
                    <c:v>ASICS</c:v>
                  </c:pt>
                  <c:pt idx="18">
                    <c:v>Topgolf Callaway</c:v>
                  </c:pt>
                  <c:pt idx="19">
                    <c:v>Canada Goose</c:v>
                  </c:pt>
                  <c:pt idx="20">
                    <c:v>昂跑</c:v>
                  </c:pt>
                  <c:pt idx="21">
                    <c:v>奔赴自然(伯希和）</c:v>
                  </c:pt>
                  <c:pt idx="22">
                    <c:v>美津浓</c:v>
                  </c:pt>
                  <c:pt idx="23">
                    <c:v>探路者</c:v>
                  </c:pt>
                  <c:pt idx="24">
                    <c:v>牧高笛</c:v>
                  </c:pt>
                  <c:pt idx="25">
                    <c:v>Uniqlo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C24F-4EF6-8ABE-F279FBD4A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"/>
        <c:showNegBubbles val="0"/>
        <c:axId val="1975319808"/>
        <c:axId val="1975306848"/>
      </c:bubbleChart>
      <c:valAx>
        <c:axId val="1975319808"/>
        <c:scaling>
          <c:orientation val="minMax"/>
          <c:max val="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23-24 YOY%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306848"/>
        <c:crosses val="autoZero"/>
        <c:crossBetween val="midCat"/>
      </c:valAx>
      <c:valAx>
        <c:axId val="1975306848"/>
        <c:scaling>
          <c:orientation val="minMax"/>
          <c:max val="0.60000000000000009"/>
          <c:min val="-0.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24-25 YOY%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319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731837</xdr:colOff>
      <xdr:row>16</xdr:row>
      <xdr:rowOff>74611</xdr:rowOff>
    </xdr:from>
    <xdr:to>
      <xdr:col>13</xdr:col>
      <xdr:colOff>66675</xdr:colOff>
      <xdr:row>46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DE09B6E8-C504-71EA-81DD-C1060E6E0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400050</xdr:colOff>
      <xdr:row>142</xdr:row>
      <xdr:rowOff>0</xdr:rowOff>
    </xdr:from>
    <xdr:to>
      <xdr:col>8</xdr:col>
      <xdr:colOff>752105</xdr:colOff>
      <xdr:row>155</xdr:row>
      <xdr:rowOff>56857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C7053C8-D922-4ACF-49B1-714862F1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72375" y="23669625"/>
          <a:ext cx="2961905" cy="23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352425</xdr:colOff>
      <xdr:row>156</xdr:row>
      <xdr:rowOff>9525</xdr:rowOff>
    </xdr:from>
    <xdr:to>
      <xdr:col>8</xdr:col>
      <xdr:colOff>733051</xdr:colOff>
      <xdr:row>170</xdr:row>
      <xdr:rowOff>113988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986C121-44CD-65E4-B430-6B38134EC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0" y="26136600"/>
          <a:ext cx="2990476" cy="2504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ICI\Documents\trae_projects\competitor_finance_info\&#32593;&#39029;&#25253;&#21578;\&#36816;&#21160;&#21697;&#29260;&#36130;&#21153;&#25253;&#21578;_&#32452;&#22270;.xlsx" TargetMode="External"/><Relationship Id="rId1" Type="http://schemas.openxmlformats.org/officeDocument/2006/relationships/externalLinkPath" Target="&#36816;&#21160;&#21697;&#29260;&#36130;&#21153;&#25253;&#21578;_&#32452;&#2227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.品牌筛选"/>
      <sheetName val="02.指标选择"/>
      <sheetName val="03.指标覆盖情况"/>
      <sheetName val="1. 行业趋势"/>
      <sheetName val="2.品牌营收气泡图"/>
      <sheetName val="3. 品牌盈利情况"/>
      <sheetName val="4. 安踏&amp;361度经营费用细分"/>
      <sheetName val="5. 费用文本分析"/>
      <sheetName val="6. 安踏&amp;361度情感分析"/>
      <sheetName val="附录1：品牌列表"/>
      <sheetName val="附录2：指标说明"/>
    </sheetNames>
    <sheetDataSet>
      <sheetData sheetId="0"/>
      <sheetData sheetId="1"/>
      <sheetData sheetId="2"/>
      <sheetData sheetId="3"/>
      <sheetData sheetId="4"/>
      <sheetData sheetId="5">
        <row r="3">
          <cell r="C3" t="str">
            <v>净利率</v>
          </cell>
          <cell r="D3" t="str">
            <v>毛利率</v>
          </cell>
          <cell r="E3" t="str">
            <v>运营费用率</v>
          </cell>
        </row>
        <row r="4">
          <cell r="B4" t="str">
            <v>安踏</v>
          </cell>
          <cell r="C4">
            <v>0.19500000000000001</v>
          </cell>
          <cell r="D4">
            <v>0.62</v>
          </cell>
          <cell r="E4">
            <v>0.247</v>
          </cell>
        </row>
        <row r="5">
          <cell r="B5" t="str">
            <v>Nike</v>
          </cell>
          <cell r="C5">
            <v>0.182</v>
          </cell>
          <cell r="D5">
            <v>0.46</v>
          </cell>
          <cell r="E5">
            <v>0.35699999999999998</v>
          </cell>
        </row>
        <row r="6">
          <cell r="B6" t="str">
            <v>Inditex</v>
          </cell>
          <cell r="C6">
            <v>0.156</v>
          </cell>
          <cell r="D6">
            <v>0.58250000000000002</v>
          </cell>
        </row>
        <row r="7">
          <cell r="B7" t="str">
            <v>Lululemon</v>
          </cell>
          <cell r="C7">
            <v>0.14199999999999999</v>
          </cell>
          <cell r="D7">
            <v>0.56599999999999995</v>
          </cell>
          <cell r="E7">
            <v>0.36599999999999999</v>
          </cell>
        </row>
        <row r="8">
          <cell r="B8" t="str">
            <v>比音勒芬</v>
          </cell>
          <cell r="C8">
            <v>0.12770000000000001</v>
          </cell>
          <cell r="D8">
            <v>0.75349999999999995</v>
          </cell>
          <cell r="E8">
            <v>0.35</v>
          </cell>
        </row>
        <row r="9">
          <cell r="B9" t="str">
            <v>361度</v>
          </cell>
          <cell r="C9">
            <v>0.11700000000000001</v>
          </cell>
          <cell r="D9">
            <v>0.41499999999999998</v>
          </cell>
          <cell r="E9">
            <v>0.223</v>
          </cell>
        </row>
        <row r="10">
          <cell r="B10" t="str">
            <v>李宁</v>
          </cell>
          <cell r="C10">
            <v>9.9000000000000005E-2</v>
          </cell>
          <cell r="D10">
            <v>0.49</v>
          </cell>
          <cell r="E10">
            <v>0.38</v>
          </cell>
        </row>
        <row r="11">
          <cell r="B11" t="str">
            <v>特步</v>
          </cell>
          <cell r="C11">
            <v>9.7000000000000003E-2</v>
          </cell>
          <cell r="D11">
            <v>0.42799999999999999</v>
          </cell>
        </row>
        <row r="12">
          <cell r="B12" t="str">
            <v>昂跑</v>
          </cell>
          <cell r="C12">
            <v>6.7599999999999993E-2</v>
          </cell>
          <cell r="D12">
            <v>0.62819999999999998</v>
          </cell>
          <cell r="E12">
            <v>0.503</v>
          </cell>
        </row>
        <row r="13">
          <cell r="B13" t="str">
            <v>亚玛芬</v>
          </cell>
          <cell r="C13">
            <v>6.7000000000000004E-2</v>
          </cell>
          <cell r="D13">
            <v>0.57630000000000003</v>
          </cell>
          <cell r="E13">
            <v>0.47299999999999998</v>
          </cell>
        </row>
        <row r="14">
          <cell r="B14" t="str">
            <v>探路者</v>
          </cell>
          <cell r="C14">
            <v>5.7200000000000001E-2</v>
          </cell>
          <cell r="D14">
            <v>0.47570000000000001</v>
          </cell>
          <cell r="E14">
            <v>0.3</v>
          </cell>
        </row>
        <row r="15">
          <cell r="B15" t="str">
            <v>滔搏</v>
          </cell>
          <cell r="C15">
            <v>4.8000000000000001E-2</v>
          </cell>
          <cell r="D15">
            <v>0.38400000000000001</v>
          </cell>
          <cell r="E15">
            <v>0.33100000000000002</v>
          </cell>
        </row>
        <row r="16">
          <cell r="B16" t="str">
            <v>哥伦比亚</v>
          </cell>
          <cell r="C16">
            <v>3.9E-2</v>
          </cell>
          <cell r="D16">
            <v>0.502</v>
          </cell>
        </row>
        <row r="17">
          <cell r="B17" t="str">
            <v>威富集团</v>
          </cell>
          <cell r="C17">
            <v>2.7E-2</v>
          </cell>
          <cell r="D17">
            <v>0.54800000000000004</v>
          </cell>
          <cell r="E17">
            <v>0.48499999999999999</v>
          </cell>
        </row>
        <row r="18">
          <cell r="B18" t="str">
            <v>捷安特</v>
          </cell>
          <cell r="C18">
            <v>1.44E-2</v>
          </cell>
          <cell r="D18">
            <v>0.1981</v>
          </cell>
          <cell r="E18">
            <v>0.1802</v>
          </cell>
        </row>
        <row r="19">
          <cell r="B19" t="str">
            <v>牧高笛</v>
          </cell>
          <cell r="C19">
            <v>-3.3799999999999997E-2</v>
          </cell>
          <cell r="D19">
            <v>0.26619999999999999</v>
          </cell>
          <cell r="E19">
            <v>0.25</v>
          </cell>
        </row>
        <row r="20">
          <cell r="B20" t="str">
            <v>安德玛</v>
          </cell>
          <cell r="C20">
            <v>-3.9E-2</v>
          </cell>
          <cell r="D20">
            <v>0.47899999999999998</v>
          </cell>
          <cell r="E20">
            <v>0.42</v>
          </cell>
        </row>
      </sheetData>
      <sheetData sheetId="6">
        <row r="5">
          <cell r="B5" t="str">
            <v>年份</v>
          </cell>
          <cell r="C5" t="str">
            <v>广告及宣传（%)</v>
          </cell>
          <cell r="D5" t="str">
            <v xml:space="preserve"> 员工成本（%)</v>
          </cell>
          <cell r="E5" t="str">
            <v xml:space="preserve"> 研发（%)</v>
          </cell>
          <cell r="F5" t="str">
            <v>广告及宣传（%)</v>
          </cell>
          <cell r="G5" t="str">
            <v xml:space="preserve"> 员工成本（%)</v>
          </cell>
          <cell r="H5" t="str">
            <v xml:space="preserve"> 研发（%)</v>
          </cell>
        </row>
        <row r="6">
          <cell r="B6">
            <v>2021</v>
          </cell>
          <cell r="C6">
            <v>10.199999999999999</v>
          </cell>
          <cell r="D6">
            <v>11.1</v>
          </cell>
          <cell r="E6">
            <v>4.2</v>
          </cell>
          <cell r="F6">
            <v>12.4</v>
          </cell>
          <cell r="G6">
            <v>13.5</v>
          </cell>
          <cell r="H6">
            <v>2.2999999999999998</v>
          </cell>
        </row>
        <row r="7">
          <cell r="B7">
            <v>2022</v>
          </cell>
          <cell r="C7">
            <v>11.4</v>
          </cell>
          <cell r="D7">
            <v>9.8000000000000007</v>
          </cell>
          <cell r="E7">
            <v>3.8</v>
          </cell>
          <cell r="F7">
            <v>10.3</v>
          </cell>
          <cell r="G7">
            <v>15.1</v>
          </cell>
          <cell r="H7">
            <v>2.4</v>
          </cell>
        </row>
        <row r="8">
          <cell r="B8">
            <v>2023</v>
          </cell>
          <cell r="C8">
            <v>12.7</v>
          </cell>
          <cell r="D8">
            <v>9.1999999999999993</v>
          </cell>
          <cell r="E8">
            <v>3.7</v>
          </cell>
          <cell r="F8">
            <v>8.1999999999999993</v>
          </cell>
          <cell r="G8">
            <v>14.9</v>
          </cell>
          <cell r="H8">
            <v>2.6</v>
          </cell>
        </row>
        <row r="9">
          <cell r="B9">
            <v>2024</v>
          </cell>
          <cell r="C9">
            <v>12.8</v>
          </cell>
          <cell r="D9">
            <v>8.5</v>
          </cell>
          <cell r="E9">
            <v>3.4</v>
          </cell>
          <cell r="F9">
            <v>9</v>
          </cell>
          <cell r="G9">
            <v>14.8</v>
          </cell>
          <cell r="H9">
            <v>2.8</v>
          </cell>
        </row>
        <row r="10">
          <cell r="B10">
            <v>2025</v>
          </cell>
          <cell r="C10">
            <v>10.5</v>
          </cell>
          <cell r="D10">
            <v>8.4</v>
          </cell>
          <cell r="E10">
            <v>3.4</v>
          </cell>
          <cell r="F10">
            <v>8</v>
          </cell>
          <cell r="G10">
            <v>15.3</v>
          </cell>
          <cell r="H10">
            <v>2.7</v>
          </cell>
        </row>
      </sheetData>
      <sheetData sheetId="7"/>
      <sheetData sheetId="8"/>
      <sheetData sheetId="9"/>
      <sheetData sheetId="1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ci" refreshedDate="46182.613425347219" createdVersion="8" refreshedVersion="8" minRefreshableVersion="3" recordCount="17" xr:uid="{6ECD85CC-FF04-4EE6-879F-A5192B5DB15D}">
  <cacheSource type="worksheet">
    <worksheetSource ref="A124:F141" sheet="1.1 Revenue"/>
  </cacheSource>
  <cacheFields count="6">
    <cacheField name="排名" numFmtId="0">
      <sharedItems containsSemiMixedTypes="0" containsString="0" containsNumber="1" containsInteger="1" minValue="1" maxValue="17"/>
    </cacheField>
    <cacheField name="公司" numFmtId="0">
      <sharedItems/>
    </cacheField>
    <cacheField name="净利率" numFmtId="10">
      <sharedItems containsSemiMixedTypes="0" containsString="0" containsNumber="1" minValue="-3.9E-2" maxValue="0.19500000000000001"/>
    </cacheField>
    <cacheField name="毛利率" numFmtId="10">
      <sharedItems containsSemiMixedTypes="0" containsString="0" containsNumber="1" minValue="0.1981" maxValue="0.75349999999999995"/>
    </cacheField>
    <cacheField name="运营费用率" numFmtId="0">
      <sharedItems containsString="0" containsBlank="1" containsNumber="1" minValue="0.11" maxValue="0.503"/>
    </cacheField>
    <cacheField name="盈利组" numFmtId="0">
      <sharedItems count="3">
        <s v="高盈利组"/>
        <s v="中等盈利"/>
        <s v="盈利承压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ICI" refreshedDate="46183.749977314816" createdVersion="8" refreshedVersion="8" minRefreshableVersion="3" recordCount="678" xr:uid="{DE43969E-99EF-47F7-A4A7-B54133BEB72A}">
  <cacheSource type="worksheet">
    <worksheetSource ref="A1:P1048576" sheet="Database"/>
  </cacheSource>
  <cacheFields count="16">
    <cacheField name="#" numFmtId="0">
      <sharedItems containsString="0" containsBlank="1" containsNumber="1" containsInteger="1" minValue="1" maxValue="28"/>
    </cacheField>
    <cacheField name="公司名" numFmtId="0">
      <sharedItems containsBlank="1" count="30">
        <s v="安踏"/>
        <s v="李宁"/>
        <s v="探路者"/>
        <s v="比音勒芬"/>
        <s v="Adidas"/>
        <s v="斯凯奇"/>
        <s v="安德玛"/>
        <s v="ASICS"/>
        <s v="Nike"/>
        <s v="捷安特"/>
        <s v="牧高笛"/>
        <s v="Lululemon"/>
        <s v="威富集团"/>
        <s v="昂跑"/>
        <s v="361度"/>
        <s v="滔搏"/>
        <s v="特步"/>
        <s v="哥伦比亚"/>
        <s v="亚玛芬"/>
        <s v="彪马"/>
        <s v="Topgolf Callaway"/>
        <s v="Canada Goose"/>
        <s v="美津浓"/>
        <s v="奔赴自然(伯希和）"/>
        <s v="Uniqlo"/>
        <s v="Inditex"/>
        <s v="adidas AG"/>
        <s v="Decathlon SA"/>
        <m/>
        <s v="ASICS Corporation" u="1"/>
      </sharedItems>
    </cacheField>
    <cacheField name="区域" numFmtId="0">
      <sharedItems containsBlank="1" count="14">
        <s v="中国公司"/>
        <s v="大中华区"/>
        <s v="TOTAL"/>
        <s v="中国内地"/>
        <s v="亚太区"/>
        <s v="亚太区（次）"/>
        <s v="港股-国内"/>
        <s v="国外"/>
        <s v="亚太/其他地区"/>
        <m/>
        <s v="TTL" u="1"/>
        <s v="ADIDAS" u="1"/>
        <s v="A股-国内" u="1"/>
        <s v="A股-国外" u="1"/>
      </sharedItems>
    </cacheField>
    <cacheField name="指标名称（原始）" numFmtId="0">
      <sharedItems containsBlank="1"/>
    </cacheField>
    <cacheField name="报告周期" numFmtId="0">
      <sharedItems containsBlank="1"/>
    </cacheField>
    <cacheField name="数据值" numFmtId="0">
      <sharedItems containsString="0" containsBlank="1" containsNumber="1" minValue="-968882" maxValue="570463000000"/>
    </cacheField>
    <cacheField name="单位" numFmtId="0">
      <sharedItems containsBlank="1"/>
    </cacheField>
    <cacheField name="数据来源" numFmtId="0">
      <sharedItems containsBlank="1"/>
    </cacheField>
    <cacheField name="所在页码" numFmtId="0">
      <sharedItems containsBlank="1" containsMixedTypes="1" containsNumber="1" containsInteger="1" minValue="4" maxValue="113"/>
    </cacheField>
    <cacheField name="原文摘录" numFmtId="0">
      <sharedItems containsBlank="1"/>
    </cacheField>
    <cacheField name="归一化周期" numFmtId="0">
      <sharedItems containsString="0" containsBlank="1" containsNumber="1" containsInteger="1" minValue="2022" maxValue="2025" count="5">
        <n v="2025"/>
        <n v="2024"/>
        <n v="2023"/>
        <n v="2022"/>
        <m/>
      </sharedItems>
    </cacheField>
    <cacheField name="归一化指标名称" numFmtId="0">
      <sharedItems containsBlank="1" containsMixedTypes="1" containsNumber="1" containsInteger="1" minValue="2023" maxValue="2025" count="40">
        <s v="营业收入"/>
        <s v="毛利"/>
        <s v="毛利率"/>
        <s v="经营利润"/>
        <s v="净利率"/>
        <s v="经营利润率"/>
        <s v="净利润"/>
        <s v="广告费用率"/>
        <s v="员工费用率"/>
        <s v="研发费用率"/>
        <s v="经营费用率"/>
        <s v="库存周转天数"/>
        <s v="单店收入"/>
        <s v="经营费用"/>
        <m/>
        <s v="门店数"/>
        <s v="电商占比"/>
        <s v="归属母公司净利润"/>
        <s v="广告及市场费用"/>
        <s v="分销与销售费用"/>
        <s v="管理费用"/>
        <s v="运营费用"/>
        <s v="管理及运营费用"/>
        <s v="税前利润"/>
        <s v="所得税"/>
        <s v="净利润(含discontinued)"/>
        <s v="净利率(含discontinued)"/>
        <s v="运营费用率"/>
        <s v="广告及市场费用率"/>
        <s v="管理及运营费用率"/>
        <s v="税前利润率"/>
        <s v="实际税率"/>
        <s v="数字渠道占比"/>
        <s v="EBITDA"/>
        <s v="商品交易总额"/>
        <s v="覆盖国家数"/>
        <s v="员工数"/>
        <n v="2025" u="1"/>
        <n v="2024" u="1"/>
        <n v="2023" u="1"/>
      </sharedItems>
    </cacheField>
    <cacheField name="归一化指标数值" numFmtId="0">
      <sharedItems containsString="0" containsBlank="1" containsNumber="1" minValue="-6975950.4000000004" maxValue="64579327200"/>
    </cacheField>
    <cacheField name="归一化计算逻辑/折算说明" numFmtId="0">
      <sharedItems containsBlank="1" containsMixedTypes="1" containsNumber="1" minValue="-4.7E-2" maxValue="0.62819999999999998"/>
    </cacheField>
    <cacheField name="备注（披露范围等）" numFmtId="0">
      <sharedItems containsBlank="1"/>
    </cacheField>
    <cacheField name="最后更新" numFmtId="0">
      <sharedItems containsDate="1" containsBlank="1" containsMixedTypes="1" minDate="2026-06-03T00:00:00" maxDate="2026-06-1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1"/>
    <s v="安踏"/>
    <n v="0.19500000000000001"/>
    <n v="0.62"/>
    <n v="0.11"/>
    <x v="0"/>
  </r>
  <r>
    <n v="2"/>
    <s v="Nike"/>
    <n v="0.182"/>
    <n v="0.46"/>
    <n v="0.35699999999999998"/>
    <x v="0"/>
  </r>
  <r>
    <n v="3"/>
    <s v="Inditex"/>
    <n v="0.156"/>
    <n v="0.58250000000000002"/>
    <m/>
    <x v="0"/>
  </r>
  <r>
    <n v="4"/>
    <s v="Lululemon"/>
    <n v="0.14199999999999999"/>
    <n v="0.56599999999999995"/>
    <n v="0.36599999999999999"/>
    <x v="0"/>
  </r>
  <r>
    <n v="5"/>
    <s v="比音勒芬"/>
    <n v="0.12770000000000001"/>
    <n v="0.75349999999999995"/>
    <n v="0.35"/>
    <x v="0"/>
  </r>
  <r>
    <n v="6"/>
    <s v="361度"/>
    <n v="0.11700000000000001"/>
    <n v="0.41499999999999998"/>
    <n v="0.223"/>
    <x v="0"/>
  </r>
  <r>
    <n v="7"/>
    <s v="李宁"/>
    <n v="9.9000000000000005E-2"/>
    <n v="0.49"/>
    <n v="0.38"/>
    <x v="1"/>
  </r>
  <r>
    <n v="8"/>
    <s v="特步"/>
    <n v="9.7000000000000003E-2"/>
    <n v="0.42799999999999999"/>
    <m/>
    <x v="1"/>
  </r>
  <r>
    <n v="9"/>
    <s v="昂跑"/>
    <n v="6.7599999999999993E-2"/>
    <n v="0.62819999999999998"/>
    <n v="0.503"/>
    <x v="1"/>
  </r>
  <r>
    <n v="10"/>
    <s v="亚玛芬"/>
    <n v="6.7000000000000004E-2"/>
    <n v="0.57630000000000003"/>
    <n v="0.47299999999999998"/>
    <x v="1"/>
  </r>
  <r>
    <n v="11"/>
    <s v="探路者"/>
    <n v="5.7200000000000001E-2"/>
    <n v="0.47570000000000001"/>
    <n v="0.3"/>
    <x v="1"/>
  </r>
  <r>
    <n v="12"/>
    <s v="滔搏"/>
    <n v="4.8000000000000001E-2"/>
    <n v="0.38400000000000001"/>
    <n v="0.33100000000000002"/>
    <x v="1"/>
  </r>
  <r>
    <n v="13"/>
    <s v="哥伦比亚"/>
    <n v="3.9E-2"/>
    <n v="0.502"/>
    <m/>
    <x v="1"/>
  </r>
  <r>
    <n v="14"/>
    <s v="威富集团"/>
    <n v="2.7E-2"/>
    <n v="0.54800000000000004"/>
    <n v="0.48499999999999999"/>
    <x v="2"/>
  </r>
  <r>
    <n v="15"/>
    <s v="捷安特"/>
    <n v="1.44E-2"/>
    <n v="0.1981"/>
    <n v="0.1802"/>
    <x v="2"/>
  </r>
  <r>
    <n v="16"/>
    <s v="牧高笛"/>
    <n v="-3.3799999999999997E-2"/>
    <n v="0.26619999999999999"/>
    <n v="0.25"/>
    <x v="2"/>
  </r>
  <r>
    <n v="17"/>
    <s v="安德玛"/>
    <n v="-3.9E-2"/>
    <n v="0.47899999999999998"/>
    <n v="0.42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8">
  <r>
    <n v="18"/>
    <x v="0"/>
    <x v="0"/>
    <s v="收入"/>
    <s v="FY2025"/>
    <n v="80219000000"/>
    <s v="RMB"/>
    <s v="安踏体育：二零二五年年报.pdf"/>
    <n v="13"/>
    <s v="收入 80219"/>
    <x v="0"/>
    <x v="0"/>
    <n v="80219000"/>
    <s v="百万元×1000=千元RMB"/>
    <s v="集团层面TOTAL"/>
    <s v="2026-06-02"/>
  </r>
  <r>
    <n v="18"/>
    <x v="0"/>
    <x v="0"/>
    <s v="毛利"/>
    <s v="FY2025"/>
    <n v="49734000000"/>
    <s v="RMB"/>
    <s v="安踏体育：二零二五年年报.pdf"/>
    <n v="13"/>
    <s v="毛利 49734"/>
    <x v="0"/>
    <x v="1"/>
    <n v="49734000"/>
    <s v="百万元×1000=千元RMB"/>
    <s v="集团层面TOTAL"/>
    <s v="2026-06-02"/>
  </r>
  <r>
    <n v="18"/>
    <x v="0"/>
    <x v="0"/>
    <s v="毛利率"/>
    <s v="FY2025"/>
    <n v="62"/>
    <s v="%"/>
    <s v="安踏体育：二零二五年年报.pdf"/>
    <n v="13"/>
    <s v="毛利率 62.0%"/>
    <x v="0"/>
    <x v="2"/>
    <n v="62"/>
    <s v="直接使用原始百分比"/>
    <s v="集团层面TOTAL"/>
    <s v="2026-06-02"/>
  </r>
  <r>
    <n v="18"/>
    <x v="0"/>
    <x v="0"/>
    <s v="经营溢利"/>
    <s v="FY2025"/>
    <n v="19091000000"/>
    <s v="RMB"/>
    <s v="安踏体育：二零二五年年报.pdf"/>
    <n v="13"/>
    <s v="经营溢利 19091"/>
    <x v="0"/>
    <x v="3"/>
    <n v="19091000"/>
    <s v="百万元×1000=千元RMB"/>
    <s v="集团层面TOTAL"/>
    <s v="2026-06-02"/>
  </r>
  <r>
    <n v="18"/>
    <x v="0"/>
    <x v="0"/>
    <s v="净利率"/>
    <s v="FY2025"/>
    <n v="19.5"/>
    <s v="%"/>
    <s v="安踏体育：二零二五年年报.pdf"/>
    <n v="13"/>
    <s v="净利率 19.5%"/>
    <x v="0"/>
    <x v="4"/>
    <n v="19.5"/>
    <s v="净利率=净利润÷收入×100%"/>
    <s v="集团层面TOTAL"/>
    <s v="2026-06-02"/>
  </r>
  <r>
    <n v="18"/>
    <x v="0"/>
    <x v="0"/>
    <s v="收入"/>
    <s v="FY2024"/>
    <n v="70826000000"/>
    <s v="RMB"/>
    <s v="安踏体育：二零二五年年报.pdf"/>
    <n v="13"/>
    <s v="收入 70826"/>
    <x v="1"/>
    <x v="0"/>
    <n v="70826000"/>
    <s v="百万元×1000=千元RMB"/>
    <s v="集团层面TOTAL"/>
    <s v="2026-06-02"/>
  </r>
  <r>
    <n v="18"/>
    <x v="0"/>
    <x v="0"/>
    <s v="毛利"/>
    <s v="FY2024"/>
    <n v="44032000000"/>
    <s v="RMB"/>
    <s v="安踏体育：二零二五年年报.pdf"/>
    <n v="13"/>
    <s v="毛利 44032"/>
    <x v="1"/>
    <x v="1"/>
    <n v="44032000"/>
    <s v="百万元×1000=千元RMB"/>
    <s v="集团层面TOTAL"/>
    <s v="2026-06-02"/>
  </r>
  <r>
    <n v="18"/>
    <x v="0"/>
    <x v="0"/>
    <s v="毛利率"/>
    <s v="FY2024"/>
    <n v="62.2"/>
    <s v="%"/>
    <s v="安踏体育：二零二五年年报.pdf"/>
    <n v="13"/>
    <s v="毛利率 62.2%"/>
    <x v="1"/>
    <x v="2"/>
    <n v="62.2"/>
    <s v="直接使用原始百分比"/>
    <s v="集团层面TOTAL"/>
    <s v="2026-06-02"/>
  </r>
  <r>
    <n v="18"/>
    <x v="0"/>
    <x v="0"/>
    <s v="经营溢利"/>
    <s v="FY2024"/>
    <n v="16595000000"/>
    <s v="RMB"/>
    <s v="安踏体育：二零二五年年报.pdf"/>
    <n v="13"/>
    <s v="经营溢利 16595"/>
    <x v="1"/>
    <x v="3"/>
    <n v="16595000"/>
    <s v="百万元×1000=千元RMB"/>
    <s v="集团层面TOTAL"/>
    <s v="2026-06-02"/>
  </r>
  <r>
    <n v="18"/>
    <x v="0"/>
    <x v="0"/>
    <s v="净利率"/>
    <s v="FY2024"/>
    <n v="24"/>
    <s v="%"/>
    <s v="安踏体育：二零二五年年报.pdf"/>
    <n v="13"/>
    <s v="净利率 24.0%"/>
    <x v="1"/>
    <x v="4"/>
    <n v="24"/>
    <s v="净利率=净利润÷收入×100%"/>
    <s v="集团层面TOTAL"/>
    <s v="2026-06-02"/>
  </r>
  <r>
    <n v="18"/>
    <x v="0"/>
    <x v="0"/>
    <s v="收入"/>
    <s v="FY2023"/>
    <n v="62356000000"/>
    <s v="RMB"/>
    <s v="安踏体育：二零二五年年报.pdf"/>
    <n v="13"/>
    <s v="收入 62356"/>
    <x v="2"/>
    <x v="0"/>
    <n v="62356000"/>
    <s v="百万元×1000=千元RMB"/>
    <s v="集团层面TOTAL"/>
    <s v="2026-06-02"/>
  </r>
  <r>
    <n v="18"/>
    <x v="0"/>
    <x v="0"/>
    <s v="毛利"/>
    <s v="FY2023"/>
    <n v="39028000000"/>
    <s v="RMB"/>
    <s v="安踏体育：二零二五年年报.pdf"/>
    <n v="13"/>
    <s v="毛利 39028"/>
    <x v="2"/>
    <x v="1"/>
    <n v="39028000"/>
    <s v="百万元×1000=千元RMB"/>
    <s v="集团层面TOTAL"/>
    <s v="2026-06-02"/>
  </r>
  <r>
    <n v="18"/>
    <x v="0"/>
    <x v="0"/>
    <s v="毛利率"/>
    <s v="FY2023"/>
    <n v="62.6"/>
    <s v="%"/>
    <s v="安踏体育：二零二五年年报.pdf"/>
    <n v="13"/>
    <s v="毛利率 62.6%"/>
    <x v="2"/>
    <x v="2"/>
    <n v="62.6"/>
    <s v="直接使用原始百分比"/>
    <s v="集团层面TOTAL"/>
    <s v="2026-06-02"/>
  </r>
  <r>
    <n v="18"/>
    <x v="0"/>
    <x v="0"/>
    <s v="经营溢利"/>
    <s v="FY2023"/>
    <n v="15367000000"/>
    <s v="RMB"/>
    <s v="安踏体育：二零二五年年报.pdf"/>
    <n v="13"/>
    <s v="经营溢利 15367"/>
    <x v="2"/>
    <x v="3"/>
    <n v="15367000"/>
    <s v="百万元×1000=千元RMB"/>
    <s v="集团层面TOTAL"/>
    <s v="2026-06-02"/>
  </r>
  <r>
    <n v="18"/>
    <x v="0"/>
    <x v="0"/>
    <s v="净利率"/>
    <s v="FY2023"/>
    <n v="16.420000000000002"/>
    <s v="%"/>
    <s v="安踏体育：二零二五年年报.pdf"/>
    <n v="13"/>
    <s v="净利率 16.42%"/>
    <x v="2"/>
    <x v="4"/>
    <n v="16.420000000000002"/>
    <s v="净利率=净利润÷收入×100%"/>
    <s v="集团层面TOTAL"/>
    <s v="2026-06-02"/>
  </r>
  <r>
    <n v="17"/>
    <x v="1"/>
    <x v="0"/>
    <s v="收入"/>
    <s v="FY2025"/>
    <n v="29598000000"/>
    <s v="RMB"/>
    <s v="李宁：2025年度报告.pdf"/>
    <n v="10"/>
    <s v="收入 29598"/>
    <x v="0"/>
    <x v="0"/>
    <n v="29598000"/>
    <s v="百万元×1000=千元RMB"/>
    <s v="集团层面TOTAL"/>
    <s v="2026-06-02"/>
  </r>
  <r>
    <n v="17"/>
    <x v="1"/>
    <x v="0"/>
    <s v="毛利"/>
    <s v="FY2025"/>
    <n v="14489000000"/>
    <s v="RMB"/>
    <s v="李宁：2025年度报告.pdf"/>
    <n v="10"/>
    <s v="毛利 14489"/>
    <x v="0"/>
    <x v="1"/>
    <n v="14489000"/>
    <s v="百万元×1000=千元RMB"/>
    <s v="集团层面TOTAL"/>
    <s v="2026-06-02"/>
  </r>
  <r>
    <n v="17"/>
    <x v="1"/>
    <x v="0"/>
    <s v="毛利率"/>
    <s v="FY2025"/>
    <n v="49"/>
    <s v="%"/>
    <s v="李宁：2025年度报告.pdf"/>
    <n v="10"/>
    <s v="毛利率 49.0%"/>
    <x v="0"/>
    <x v="2"/>
    <n v="49"/>
    <s v="直接使用原始百分比"/>
    <s v="集团层面TOTAL"/>
    <s v="2026-06-02"/>
  </r>
  <r>
    <n v="17"/>
    <x v="1"/>
    <x v="0"/>
    <s v="净利率"/>
    <s v="FY2025"/>
    <n v="9.9"/>
    <s v="%"/>
    <s v="李宁：2025年度报告.pdf"/>
    <n v="10"/>
    <s v="净利率 9.9%"/>
    <x v="0"/>
    <x v="4"/>
    <n v="9.9"/>
    <s v="净利率=净利润÷收入×100%"/>
    <s v="集团层面TOTAL"/>
    <s v="2026-06-02"/>
  </r>
  <r>
    <n v="17"/>
    <x v="1"/>
    <x v="0"/>
    <s v="收入"/>
    <s v="FY2024"/>
    <n v="28676000000"/>
    <s v="RMB"/>
    <s v="李宁：2025年度报告.pdf"/>
    <n v="10"/>
    <s v="收入 28676"/>
    <x v="1"/>
    <x v="0"/>
    <n v="28676000"/>
    <s v="百万元×1000=千元RMB"/>
    <s v="集团层面TOTAL"/>
    <s v="2026-06-02"/>
  </r>
  <r>
    <n v="17"/>
    <x v="1"/>
    <x v="0"/>
    <s v="毛利"/>
    <s v="FY2024"/>
    <n v="14156000000"/>
    <s v="RMB"/>
    <s v="李宁：2025年度报告.pdf"/>
    <n v="10"/>
    <s v="毛利 14156"/>
    <x v="1"/>
    <x v="1"/>
    <n v="14156000"/>
    <s v="百万元×1000=千元RMB"/>
    <s v="集团层面TOTAL"/>
    <s v="2026-06-02"/>
  </r>
  <r>
    <n v="17"/>
    <x v="1"/>
    <x v="0"/>
    <s v="毛利率"/>
    <s v="FY2024"/>
    <n v="49.4"/>
    <s v="%"/>
    <s v="李宁：2025年度报告.pdf"/>
    <n v="10"/>
    <s v="毛利率 49.4%"/>
    <x v="1"/>
    <x v="2"/>
    <n v="49.4"/>
    <s v="直接使用原始百分比"/>
    <s v="集团层面TOTAL"/>
    <s v="2026-06-02"/>
  </r>
  <r>
    <n v="17"/>
    <x v="1"/>
    <x v="0"/>
    <s v="净利率"/>
    <s v="FY2024"/>
    <n v="8.8000000000000007"/>
    <s v="%"/>
    <s v="李宁：2025年度报告.pdf"/>
    <n v="10"/>
    <s v="净利率 8.8%"/>
    <x v="1"/>
    <x v="4"/>
    <n v="8.8000000000000007"/>
    <s v="净利率=净利润÷收入×100%"/>
    <s v="集团层面TOTAL"/>
    <s v="2026-06-02"/>
  </r>
  <r>
    <n v="17"/>
    <x v="1"/>
    <x v="0"/>
    <s v="收入"/>
    <s v="FY2023"/>
    <n v="27598000000"/>
    <s v="RMB"/>
    <s v="李宁：2025年度报告.pdf"/>
    <n v="10"/>
    <s v="收入 27598"/>
    <x v="2"/>
    <x v="0"/>
    <n v="27598000"/>
    <s v="百万元×1000=千元RMB"/>
    <s v="集团层面TOTAL"/>
    <s v="2026-06-02"/>
  </r>
  <r>
    <n v="17"/>
    <x v="1"/>
    <x v="0"/>
    <s v="毛利"/>
    <s v="FY2023"/>
    <n v="13361000000"/>
    <s v="RMB"/>
    <s v="李宁：2025年度报告.pdf"/>
    <n v="10"/>
    <s v="毛利 13361"/>
    <x v="2"/>
    <x v="1"/>
    <n v="13361000"/>
    <s v="百万元×1000=千元RMB"/>
    <s v="集团层面TOTAL"/>
    <s v="2026-06-02"/>
  </r>
  <r>
    <n v="17"/>
    <x v="1"/>
    <x v="0"/>
    <s v="毛利率"/>
    <s v="FY2023"/>
    <n v="48.4"/>
    <s v="%"/>
    <s v="李宁：2025年度报告.pdf"/>
    <n v="10"/>
    <s v="毛利率 48.4%"/>
    <x v="2"/>
    <x v="2"/>
    <n v="48.4"/>
    <s v="直接使用原始百分比"/>
    <s v="集团层面TOTAL"/>
    <s v="2026-06-02"/>
  </r>
  <r>
    <n v="17"/>
    <x v="1"/>
    <x v="0"/>
    <s v="净利率"/>
    <s v="FY2023"/>
    <n v="8.6"/>
    <s v="%"/>
    <s v="李宁：2025年度报告.pdf"/>
    <n v="10"/>
    <s v="净利率 8.6%"/>
    <x v="2"/>
    <x v="4"/>
    <n v="8.6"/>
    <s v="净利率=净利润÷收入×100%"/>
    <s v="集团层面TOTAL"/>
    <s v="2026-06-02"/>
  </r>
  <r>
    <n v="20"/>
    <x v="2"/>
    <x v="0"/>
    <s v="营业收入"/>
    <s v="FY2025"/>
    <n v="1380713096"/>
    <s v="RMB"/>
    <s v="探路者：2025年年度报告.pdf"/>
    <n v="7"/>
    <s v="营业收入 13.81亿元"/>
    <x v="0"/>
    <x v="0"/>
    <n v="1380713.0959999999"/>
    <s v="元/1000=千元RMB"/>
    <s v="集团层面TOTAL"/>
    <s v="2026-06-02"/>
  </r>
  <r>
    <n v="20"/>
    <x v="2"/>
    <x v="0"/>
    <s v="毛利"/>
    <s v="FY2025"/>
    <n v="656500000"/>
    <s v="RMB"/>
    <s v="探路者：2025年年度报告.pdf"/>
    <n v="7"/>
    <s v="毛利 47.57%"/>
    <x v="0"/>
    <x v="1"/>
    <n v="656500"/>
    <s v="元/1000=千元RMB"/>
    <s v="集团层面TOTAL"/>
    <s v="2026-06-02"/>
  </r>
  <r>
    <n v="20"/>
    <x v="2"/>
    <x v="0"/>
    <s v="毛利率"/>
    <s v="FY2025"/>
    <n v="47.57"/>
    <s v="%"/>
    <s v="探路者：2025年年度报告.pdf"/>
    <n v="7"/>
    <s v="毛利率 47.57%"/>
    <x v="0"/>
    <x v="2"/>
    <n v="47.57"/>
    <s v="直接使用原始百分比"/>
    <s v="集团层面TOTAL"/>
    <s v="2026-06-02"/>
  </r>
  <r>
    <n v="20"/>
    <x v="2"/>
    <x v="0"/>
    <s v="净利率"/>
    <s v="FY2025"/>
    <n v="5.72"/>
    <s v="%"/>
    <s v="探路者：2025年年度报告.pdf"/>
    <n v="7"/>
    <s v="净利率 5.72%"/>
    <x v="0"/>
    <x v="4"/>
    <n v="5.72"/>
    <s v="净利润/营业收入×100%"/>
    <s v="集团层面TOTAL"/>
    <s v="2026-06-02"/>
  </r>
  <r>
    <n v="20"/>
    <x v="2"/>
    <x v="0"/>
    <s v="营业收入"/>
    <s v="FY2024"/>
    <n v="1591589610"/>
    <s v="RMB"/>
    <s v="探路者：2025年年度报告.pdf"/>
    <n v="7"/>
    <s v="营业收入 15.92亿元"/>
    <x v="1"/>
    <x v="0"/>
    <n v="1591589.61"/>
    <s v="元/1000=千元RMB"/>
    <s v="集团层面TOTAL"/>
    <s v="2026-06-02"/>
  </r>
  <r>
    <n v="20"/>
    <x v="2"/>
    <x v="0"/>
    <s v="毛利"/>
    <s v="FY2024"/>
    <n v="711000000"/>
    <s v="RMB"/>
    <s v="探路者：2025年年度报告.pdf"/>
    <n v="7"/>
    <s v="毛利 44.67%"/>
    <x v="1"/>
    <x v="1"/>
    <n v="711000"/>
    <s v="元/1000=千元RMB"/>
    <s v="集团层面TOTAL"/>
    <s v="2026-06-02"/>
  </r>
  <r>
    <n v="20"/>
    <x v="2"/>
    <x v="0"/>
    <s v="毛利率"/>
    <s v="FY2024"/>
    <n v="44.67"/>
    <s v="%"/>
    <s v="探路者：2025年年度报告.pdf"/>
    <n v="7"/>
    <s v="毛利率 44.67%"/>
    <x v="1"/>
    <x v="2"/>
    <n v="44.67"/>
    <s v="直接使用原始百分比"/>
    <s v="集团层面TOTAL"/>
    <s v="2026-06-02"/>
  </r>
  <r>
    <n v="20"/>
    <x v="2"/>
    <x v="0"/>
    <s v="净利率"/>
    <s v="FY2024"/>
    <n v="6.7"/>
    <s v="%"/>
    <s v="探路者：2025年年度报告.pdf"/>
    <n v="7"/>
    <s v="净利率 6.7%"/>
    <x v="1"/>
    <x v="4"/>
    <n v="6.7"/>
    <s v="净利润/营业收入×100%"/>
    <s v="集团层面TOTAL"/>
    <s v="2026-06-02"/>
  </r>
  <r>
    <n v="20"/>
    <x v="2"/>
    <x v="0"/>
    <s v="营业收入"/>
    <s v="FY2023"/>
    <n v="1390710923"/>
    <s v="RMB"/>
    <s v="探路者：2025年年度报告.pdf"/>
    <n v="7"/>
    <s v="营业收入 13.91亿元"/>
    <x v="2"/>
    <x v="0"/>
    <n v="1390710.923"/>
    <s v="元/1000=千元RMB"/>
    <s v="集团层面TOTAL"/>
    <s v="2026-06-02"/>
  </r>
  <r>
    <n v="20"/>
    <x v="2"/>
    <x v="0"/>
    <s v="毛利"/>
    <s v="FY2023"/>
    <n v="613600000"/>
    <s v="RMB"/>
    <s v="探路者：2025年年度报告.pdf"/>
    <n v="7"/>
    <s v="毛利 44.1%"/>
    <x v="2"/>
    <x v="1"/>
    <n v="613600"/>
    <s v="元/1000=千元RMB"/>
    <s v="集团层面TOTAL"/>
    <s v="2026-06-02"/>
  </r>
  <r>
    <n v="20"/>
    <x v="2"/>
    <x v="0"/>
    <s v="毛利率"/>
    <s v="FY2023"/>
    <n v="44.1"/>
    <s v="%"/>
    <s v="探路者：2025年年度报告.pdf"/>
    <n v="7"/>
    <s v="毛利率 44.1%"/>
    <x v="2"/>
    <x v="2"/>
    <n v="44.1"/>
    <s v="直接使用原始百分比"/>
    <s v="集团层面TOTAL"/>
    <s v="2026-06-02"/>
  </r>
  <r>
    <n v="20"/>
    <x v="2"/>
    <x v="0"/>
    <s v="净利率"/>
    <s v="FY2023"/>
    <n v="5.16"/>
    <s v="%"/>
    <s v="探路者：2025年年度报告.pdf"/>
    <n v="7"/>
    <s v="净利率 5.16%"/>
    <x v="2"/>
    <x v="4"/>
    <n v="5.16"/>
    <s v="净利润/营业收入×100%"/>
    <s v="集团层面TOTAL"/>
    <s v="2026-06-02"/>
  </r>
  <r>
    <n v="22"/>
    <x v="3"/>
    <x v="0"/>
    <s v="营业收入"/>
    <s v="FY2025"/>
    <n v="4313910954"/>
    <s v="RMB"/>
    <s v="比音勒芬2025年报.pdf"/>
    <n v="7"/>
    <s v="营业收入 43.14亿元"/>
    <x v="0"/>
    <x v="0"/>
    <n v="4313910.9539999999"/>
    <s v="元/1000=千元RMB"/>
    <s v="集团层面TOTAL"/>
    <s v="2026-06-02"/>
  </r>
  <r>
    <n v="22"/>
    <x v="3"/>
    <x v="0"/>
    <s v="毛利"/>
    <s v="FY2025"/>
    <n v="3250800000"/>
    <s v="RMB"/>
    <s v="比音勒芬2025年报.pdf"/>
    <n v="7"/>
    <s v="毛利 75.35%"/>
    <x v="0"/>
    <x v="1"/>
    <n v="3250800"/>
    <s v="元/1000=千元RMB"/>
    <s v="集团层面TOTAL"/>
    <s v="2026-06-02"/>
  </r>
  <r>
    <n v="22"/>
    <x v="3"/>
    <x v="0"/>
    <s v="毛利率"/>
    <s v="FY2025"/>
    <n v="75.349999999999994"/>
    <s v="%"/>
    <s v="比音勒芬2025年报.pdf"/>
    <n v="7"/>
    <s v="毛利率 75.35%"/>
    <x v="0"/>
    <x v="2"/>
    <n v="75.349999999999994"/>
    <s v="直接使用原始百分比"/>
    <s v="集团层面TOTAL"/>
    <s v="2026-06-02"/>
  </r>
  <r>
    <n v="22"/>
    <x v="3"/>
    <x v="0"/>
    <s v="净利率"/>
    <s v="FY2025"/>
    <n v="12.77"/>
    <s v="%"/>
    <s v="比音勒芬2025年报.pdf"/>
    <n v="7"/>
    <s v="净利率 12.77%"/>
    <x v="0"/>
    <x v="4"/>
    <n v="12.77"/>
    <s v="净利润/营业收入×100%"/>
    <s v="集团层面TOTAL"/>
    <s v="2026-06-02"/>
  </r>
  <r>
    <n v="22"/>
    <x v="3"/>
    <x v="0"/>
    <s v="营业收入"/>
    <s v="FY2024"/>
    <n v="4004463320"/>
    <s v="RMB"/>
    <s v="比音勒芬2025年报.pdf"/>
    <n v="7"/>
    <s v="营业收入 40.04亿元"/>
    <x v="1"/>
    <x v="0"/>
    <n v="4004463.32"/>
    <s v="元/1000=千元RMB"/>
    <s v="集团层面TOTAL"/>
    <s v="2026-06-02"/>
  </r>
  <r>
    <n v="22"/>
    <x v="3"/>
    <x v="0"/>
    <s v="毛利"/>
    <s v="FY2024"/>
    <n v="3055000000"/>
    <s v="RMB"/>
    <s v="比音勒芬2025年报.pdf"/>
    <n v="7"/>
    <s v="毛利 76.29%"/>
    <x v="1"/>
    <x v="1"/>
    <n v="3055000"/>
    <s v="元/1000=千元RMB"/>
    <s v="集团层面TOTAL"/>
    <s v="2026-06-02"/>
  </r>
  <r>
    <n v="22"/>
    <x v="3"/>
    <x v="0"/>
    <s v="毛利率"/>
    <s v="FY2024"/>
    <n v="76.290000000000006"/>
    <s v="%"/>
    <s v="比音勒芬2025年报.pdf"/>
    <n v="7"/>
    <s v="毛利率 76.29%"/>
    <x v="1"/>
    <x v="2"/>
    <n v="76.290000000000006"/>
    <s v="直接使用原始百分比"/>
    <s v="集团层面TOTAL"/>
    <s v="2026-06-02"/>
  </r>
  <r>
    <n v="22"/>
    <x v="3"/>
    <x v="0"/>
    <s v="净利率"/>
    <s v="FY2024"/>
    <n v="19.5"/>
    <s v="%"/>
    <s v="比音勒芬2025年报.pdf"/>
    <n v="7"/>
    <s v="净利率 19.5%"/>
    <x v="1"/>
    <x v="4"/>
    <n v="19.5"/>
    <s v="净利润/营业收入×100%"/>
    <s v="集团层面TOTAL"/>
    <s v="2026-06-02"/>
  </r>
  <r>
    <n v="22"/>
    <x v="3"/>
    <x v="0"/>
    <s v="营业收入"/>
    <s v="FY2023"/>
    <n v="3536132714"/>
    <s v="RMB"/>
    <s v="比音勒芬2025年报.pdf"/>
    <n v="7"/>
    <s v="营业收入 35.36亿元"/>
    <x v="2"/>
    <x v="0"/>
    <n v="3536132.7140000002"/>
    <s v="元/1000=千元RMB"/>
    <s v="集团层面TOTAL"/>
    <s v="2026-06-02"/>
  </r>
  <r>
    <n v="22"/>
    <x v="3"/>
    <x v="0"/>
    <s v="毛利"/>
    <s v="FY2023"/>
    <n v="2739000000"/>
    <s v="RMB"/>
    <s v="比音勒芬2025年报.pdf"/>
    <n v="7"/>
    <s v="毛利 77.5%"/>
    <x v="2"/>
    <x v="1"/>
    <n v="2739000"/>
    <s v="元/1000=千元RMB"/>
    <s v="集团层面TOTAL"/>
    <s v="2026-06-02"/>
  </r>
  <r>
    <n v="22"/>
    <x v="3"/>
    <x v="0"/>
    <s v="毛利率"/>
    <s v="FY2023"/>
    <n v="77.5"/>
    <s v="%"/>
    <s v="比音勒芬2025年报.pdf"/>
    <n v="7"/>
    <s v="毛利率 77.5%"/>
    <x v="2"/>
    <x v="2"/>
    <n v="77.5"/>
    <s v="直接使用原始百分比"/>
    <s v="集团层面TOTAL"/>
    <s v="2026-06-02"/>
  </r>
  <r>
    <n v="22"/>
    <x v="3"/>
    <x v="0"/>
    <s v="净利率"/>
    <s v="FY2023"/>
    <n v="25.75"/>
    <s v="%"/>
    <s v="比音勒芬2025年报.pdf"/>
    <n v="7"/>
    <s v="净利率 25.75%"/>
    <x v="2"/>
    <x v="4"/>
    <n v="25.75"/>
    <s v="净利润/营业收入×100%"/>
    <s v="集团层面TOTAL"/>
    <s v="2026-06-02"/>
  </r>
  <r>
    <n v="4"/>
    <x v="4"/>
    <x v="1"/>
    <s v="Net sales"/>
    <s v="FY2025"/>
    <n v="3623"/>
    <s v="百万欧元"/>
    <s v="annual-report-adidas-ar25.pdf"/>
    <n v="111"/>
    <s v="Net sales €3623 million"/>
    <x v="0"/>
    <x v="0"/>
    <n v="28259400"/>
    <s v="百万欧元×8.3×1000=千元RMB"/>
    <s v="大中华区"/>
    <s v="2026-06-02"/>
  </r>
  <r>
    <n v="4"/>
    <x v="4"/>
    <x v="1"/>
    <s v="Gross profit"/>
    <s v="FY2025"/>
    <n v="1904"/>
    <s v="百万欧元"/>
    <s v="annual-report-adidas-ar25.pdf"/>
    <n v="111"/>
    <s v="Gross profit €1904 million"/>
    <x v="0"/>
    <x v="1"/>
    <n v="14851200"/>
    <s v="百万欧元×8.3×1000=千元RMB"/>
    <s v="大中华区"/>
    <s v="2026-06-02"/>
  </r>
  <r>
    <n v="4"/>
    <x v="4"/>
    <x v="1"/>
    <s v="Gross margin"/>
    <s v="FY2025"/>
    <n v="52.6"/>
    <s v="%"/>
    <s v="annual-report-adidas-ar25.pdf"/>
    <n v="111"/>
    <s v="Gross margin 52.6%"/>
    <x v="0"/>
    <x v="2"/>
    <n v="52.6"/>
    <s v="直接使用原始百分比"/>
    <s v="大中华区"/>
    <s v="2026-06-02"/>
  </r>
  <r>
    <n v="4"/>
    <x v="4"/>
    <x v="1"/>
    <s v="Operating profit"/>
    <s v="FY2025"/>
    <n v="802"/>
    <s v="百万欧元"/>
    <s v="annual-report-adidas-ar25.pdf"/>
    <n v="111"/>
    <s v="Operating profit €802 million"/>
    <x v="0"/>
    <x v="3"/>
    <n v="6255600"/>
    <s v="百万欧元×8.3×1000=千元RMB"/>
    <s v="大中华区"/>
    <s v="2026-06-02"/>
  </r>
  <r>
    <n v="4"/>
    <x v="4"/>
    <x v="1"/>
    <s v="Operating margin"/>
    <s v="FY2025"/>
    <n v="22.1"/>
    <s v="%"/>
    <s v="annual-report-adidas-ar25.pdf"/>
    <n v="111"/>
    <s v="Operating margin 22.1%"/>
    <x v="0"/>
    <x v="5"/>
    <n v="22.1"/>
    <s v="直接使用原始百分比"/>
    <s v="大中华区"/>
    <s v="2026-06-02"/>
  </r>
  <r>
    <n v="4"/>
    <x v="4"/>
    <x v="1"/>
    <s v="Net sales"/>
    <s v="FY2024"/>
    <n v="3459"/>
    <s v="百万欧元"/>
    <s v="adidas_annual_report_2024_EN_Final_secured.pdf"/>
    <n v="113"/>
    <s v="Net sales €3459 million"/>
    <x v="1"/>
    <x v="0"/>
    <n v="26980200"/>
    <s v="百万欧元×8.17×1000=千元RMB"/>
    <s v="大中华区"/>
    <s v="2026-06-02"/>
  </r>
  <r>
    <n v="4"/>
    <x v="4"/>
    <x v="1"/>
    <s v="Gross profit"/>
    <s v="FY2024"/>
    <n v="1716"/>
    <s v="百万欧元"/>
    <s v="adidas_annual_report_2024_EN_Final_secured.pdf"/>
    <n v="113"/>
    <s v="Gross profit €1716.0 million"/>
    <x v="1"/>
    <x v="1"/>
    <n v="13384800"/>
    <s v="百万欧元×8.17×1000=千元RMB"/>
    <s v="大中华区"/>
    <s v="2026-06-02"/>
  </r>
  <r>
    <n v="4"/>
    <x v="4"/>
    <x v="1"/>
    <s v="Gross margin"/>
    <s v="FY2024"/>
    <n v="49.6"/>
    <s v="%"/>
    <s v="adidas_annual_report_2024_EN_Final_secured.pdf"/>
    <n v="113"/>
    <s v="Gross margin 49.6%"/>
    <x v="1"/>
    <x v="2"/>
    <n v="49.6"/>
    <s v="直接使用原始百分比"/>
    <s v="大中华区"/>
    <s v="2026-06-02"/>
  </r>
  <r>
    <n v="4"/>
    <x v="4"/>
    <x v="1"/>
    <s v="Operating profit"/>
    <s v="FY2024"/>
    <n v="714"/>
    <s v="百万欧元"/>
    <s v="adidas_annual_report_2024_EN_Final_secured.pdf"/>
    <n v="113"/>
    <s v="Operating profit €714 million"/>
    <x v="1"/>
    <x v="3"/>
    <n v="5569200"/>
    <s v="百万欧元×8.17×1000=千元RMB"/>
    <s v="大中华区"/>
    <s v="2026-06-02"/>
  </r>
  <r>
    <n v="4"/>
    <x v="4"/>
    <x v="1"/>
    <s v="Operating margin"/>
    <s v="FY2024"/>
    <n v="20.6"/>
    <s v="%"/>
    <s v="adidas_annual_report_2024_EN_Final_secured.pdf"/>
    <n v="113"/>
    <s v="Operating margin 20.6%"/>
    <x v="1"/>
    <x v="5"/>
    <n v="20.6"/>
    <s v="直接使用原始百分比"/>
    <s v="大中华区"/>
    <s v="2026-06-02"/>
  </r>
  <r>
    <n v="4"/>
    <x v="4"/>
    <x v="1"/>
    <s v="Net sales"/>
    <s v="FY2023"/>
    <n v="3190"/>
    <s v="百万欧元"/>
    <s v="adidas_annual_report_2024_EN_Final_secured.pdf"/>
    <n v="113"/>
    <s v="Net sales €3190 million"/>
    <x v="2"/>
    <x v="0"/>
    <n v="24882000"/>
    <s v="百万欧元×7.85×1000=千元RMB"/>
    <s v="大中华区"/>
    <s v="2026-06-02"/>
  </r>
  <r>
    <n v="4"/>
    <x v="4"/>
    <x v="1"/>
    <s v="Gross profit"/>
    <s v="FY2023"/>
    <n v="1554"/>
    <s v="百万欧元"/>
    <s v="adidas_annual_report_2024_EN_Final_secured.pdf"/>
    <n v="113"/>
    <s v="Gross profit €1554.0 million"/>
    <x v="2"/>
    <x v="1"/>
    <n v="12121200"/>
    <s v="百万欧元×7.85×1000=千元RMB"/>
    <s v="大中华区"/>
    <s v="2026-06-02"/>
  </r>
  <r>
    <n v="4"/>
    <x v="4"/>
    <x v="1"/>
    <s v="Gross margin"/>
    <s v="FY2023"/>
    <n v="48.7"/>
    <s v="%"/>
    <s v="adidas_annual_report_2024_EN_Final_secured.pdf"/>
    <n v="113"/>
    <s v="Gross margin 48.7%"/>
    <x v="2"/>
    <x v="2"/>
    <n v="48.7"/>
    <s v="直接使用原始百分比"/>
    <s v="大中华区"/>
    <s v="2026-06-02"/>
  </r>
  <r>
    <n v="4"/>
    <x v="4"/>
    <x v="1"/>
    <s v="Operating profit"/>
    <s v="FY2023"/>
    <n v="553"/>
    <s v="百万欧元"/>
    <s v="adidas_annual_report_2024_EN_Final_secured.pdf"/>
    <n v="113"/>
    <s v="Operating profit €553 million"/>
    <x v="2"/>
    <x v="3"/>
    <n v="4313400"/>
    <s v="百万欧元×7.85×1000=千元RMB"/>
    <s v="大中华区"/>
    <s v="2026-06-02"/>
  </r>
  <r>
    <n v="4"/>
    <x v="4"/>
    <x v="1"/>
    <s v="Operating margin"/>
    <s v="FY2023"/>
    <n v="17.3"/>
    <s v="%"/>
    <s v="adidas_annual_report_2024_EN_Final_secured.pdf"/>
    <n v="113"/>
    <s v="Operating margin 17.3%"/>
    <x v="2"/>
    <x v="5"/>
    <n v="17.3"/>
    <s v="直接使用原始百分比"/>
    <s v="大中华区"/>
    <s v="2026-06-02"/>
  </r>
  <r>
    <n v="2"/>
    <x v="5"/>
    <x v="2"/>
    <s v="Net sales"/>
    <s v="FY2024"/>
    <n v="8969351"/>
    <s v="千美元"/>
    <s v="annual-report-10-k-73611-2025-02-28-09-59-17.pdf"/>
    <n v="24"/>
    <s v="Net sales $8,969,351.0 million (千美元)"/>
    <x v="1"/>
    <x v="0"/>
    <n v="64579327200"/>
    <s v="千美元×7.2=千元人民币"/>
    <s v="集团TOTAL"/>
    <s v="2026-06-02"/>
  </r>
  <r>
    <n v="2"/>
    <x v="5"/>
    <x v="2"/>
    <s v="Gross profit"/>
    <s v="FY2024"/>
    <n v="4767439"/>
    <s v="千美元"/>
    <s v="annual-report-10-k-73611-2025-02-28-09-59-17.pdf"/>
    <n v="24"/>
    <s v="Net sales $4,767,439.0 million (千美元)"/>
    <x v="1"/>
    <x v="1"/>
    <n v="34325560800"/>
    <s v="千美元×7.2=千元人民币"/>
    <s v="集团TOTAL"/>
    <s v="2026-06-02"/>
  </r>
  <r>
    <n v="2"/>
    <x v="5"/>
    <x v="2"/>
    <s v="Gross margin"/>
    <s v="FY2024"/>
    <n v="53.2"/>
    <s v="%"/>
    <s v="annual-report-10-k-73611-2025-02-28-09-59-17.pdf"/>
    <n v="24"/>
    <s v="Gross margin 53.2%"/>
    <x v="1"/>
    <x v="2"/>
    <n v="53.2"/>
    <s v="直接使用"/>
    <s v="集团TOTAL"/>
    <s v="2026-06-02"/>
  </r>
  <r>
    <n v="2"/>
    <x v="5"/>
    <x v="2"/>
    <s v="Net sales"/>
    <s v="FY2023"/>
    <n v="8000342"/>
    <s v="千美元"/>
    <s v="annual-report-10-k-73611-2025-02-28-09-59-17.pdf"/>
    <n v="24"/>
    <s v="Net sales $8,000,342.0 million (千美元)"/>
    <x v="2"/>
    <x v="0"/>
    <n v="57602462400"/>
    <s v="千美元×7.2=千元人民币"/>
    <s v="集团TOTAL"/>
    <s v="2026-06-02"/>
  </r>
  <r>
    <n v="2"/>
    <x v="5"/>
    <x v="2"/>
    <s v="Gross profit"/>
    <s v="FY2023"/>
    <n v="4152404"/>
    <s v="千美元"/>
    <s v="annual-report-10-k-73611-2025-02-28-09-59-17.pdf"/>
    <n v="24"/>
    <s v="Net sales $4,152,404.0 million (千美元)"/>
    <x v="2"/>
    <x v="1"/>
    <n v="29897308800"/>
    <s v="千美元×7.2=千元人民币"/>
    <s v="集团TOTAL"/>
    <s v="2026-06-02"/>
  </r>
  <r>
    <n v="2"/>
    <x v="5"/>
    <x v="2"/>
    <s v="Gross margin"/>
    <s v="FY2023"/>
    <n v="51.9"/>
    <s v="%"/>
    <s v="annual-report-10-k-73611-2025-02-28-09-59-17.pdf"/>
    <n v="24"/>
    <s v="Gross margin 51.9%"/>
    <x v="2"/>
    <x v="2"/>
    <n v="51.9"/>
    <s v="直接使用"/>
    <s v="集团TOTAL"/>
    <s v="2026-06-02"/>
  </r>
  <r>
    <n v="2"/>
    <x v="5"/>
    <x v="2"/>
    <s v="Operating income"/>
    <s v="FY2024"/>
    <n v="904257"/>
    <s v="千美元"/>
    <s v="annual-report-10-k-73611-2025-02-28-09-59-17.pdf"/>
    <n v="24"/>
    <s v="Net sales $904.3 million (千美元)"/>
    <x v="1"/>
    <x v="3"/>
    <n v="6510650.4000000004"/>
    <s v="千美元×7.2=千元人民币"/>
    <s v="集团TOTAL"/>
    <s v="2026-06-02"/>
  </r>
  <r>
    <n v="2"/>
    <x v="5"/>
    <x v="2"/>
    <s v="Net income"/>
    <s v="FY2024"/>
    <n v="729613"/>
    <s v="千美元"/>
    <s v="annual-report-10-k-73611-2025-02-28-09-59-17.pdf"/>
    <n v="24"/>
    <s v="Net sales $729.6 million (千美元)"/>
    <x v="1"/>
    <x v="6"/>
    <n v="5253213.6000000006"/>
    <s v="千美元×7.2=千元人民币"/>
    <s v="集团TOTAL"/>
    <s v="2026-06-02"/>
  </r>
  <r>
    <n v="2"/>
    <x v="5"/>
    <x v="2"/>
    <s v="Operating margin"/>
    <s v="FY2024"/>
    <n v="10.1"/>
    <s v="%"/>
    <s v="annual-report-10-k-73611-2025-02-28-09-59-17.pdf"/>
    <n v="24"/>
    <s v="Operating margin 10.1%"/>
    <x v="1"/>
    <x v="5"/>
    <n v="10.1"/>
    <s v="直接使用"/>
    <s v="集团TOTAL"/>
    <s v="2026-06-02"/>
  </r>
  <r>
    <n v="2"/>
    <x v="5"/>
    <x v="2"/>
    <s v="Net margin"/>
    <s v="FY2024"/>
    <n v="8.1"/>
    <s v="%"/>
    <s v="annual-report-10-k-73611-2025-02-28-09-59-17.pdf"/>
    <n v="24"/>
    <s v="Net margin 8.1%"/>
    <x v="1"/>
    <x v="4"/>
    <n v="8.1"/>
    <s v="直接使用"/>
    <s v="集团TOTAL"/>
    <s v="2026-06-02"/>
  </r>
  <r>
    <n v="2"/>
    <x v="5"/>
    <x v="2"/>
    <s v="Operating income"/>
    <s v="FY2023"/>
    <n v="784786"/>
    <s v="千美元"/>
    <s v="annual-report-10-k-73611-2025-02-28-09-59-17.pdf"/>
    <n v="24"/>
    <s v="Net sales $784.8 million (千美元)"/>
    <x v="2"/>
    <x v="3"/>
    <n v="5650459.2000000002"/>
    <s v="千美元×7.2=千元人民币"/>
    <s v="集团TOTAL"/>
    <s v="2026-06-02"/>
  </r>
  <r>
    <n v="2"/>
    <x v="5"/>
    <x v="2"/>
    <s v="Net income"/>
    <s v="FY2023"/>
    <n v="545799"/>
    <s v="千美元"/>
    <s v="annual-report-10-k-73611-2025-02-28-09-59-17.pdf"/>
    <n v="24"/>
    <s v="Net sales $545.8 million (千美元)"/>
    <x v="2"/>
    <x v="6"/>
    <n v="3929752.8"/>
    <s v="千美元×7.2=千元人民币"/>
    <s v="集团TOTAL"/>
    <s v="2026-06-02"/>
  </r>
  <r>
    <n v="2"/>
    <x v="5"/>
    <x v="2"/>
    <s v="Operating margin"/>
    <s v="FY2023"/>
    <n v="9.8000000000000007"/>
    <s v="%"/>
    <s v="annual-report-10-k-73611-2025-02-28-09-59-17.pdf"/>
    <n v="24"/>
    <s v="Operating margin 9.8%"/>
    <x v="2"/>
    <x v="5"/>
    <n v="9.8000000000000007"/>
    <s v="直接使用"/>
    <s v="集团TOTAL"/>
    <s v="2026-06-02"/>
  </r>
  <r>
    <n v="2"/>
    <x v="5"/>
    <x v="2"/>
    <s v="Net margin"/>
    <s v="FY2023"/>
    <n v="6.8"/>
    <s v="%"/>
    <s v="annual-report-10-k-73611-2025-02-28-09-59-17.pdf"/>
    <n v="24"/>
    <s v="Net margin 6.8%"/>
    <x v="2"/>
    <x v="4"/>
    <n v="6.8"/>
    <s v="直接使用"/>
    <s v="集团TOTAL"/>
    <s v="2026-06-02"/>
  </r>
  <r>
    <n v="15"/>
    <x v="6"/>
    <x v="2"/>
    <s v="Net revenues"/>
    <s v="FY2025"/>
    <n v="5164310"/>
    <s v="千美元"/>
    <s v="UA_2025_AnnualReport.pdf"/>
    <n v="35"/>
    <s v="Net revenues $5164310K"/>
    <x v="0"/>
    <x v="0"/>
    <n v="37183032"/>
    <s v="千美元×7.2=千元人民币"/>
    <s v="集团TOTAL"/>
    <s v="2026-06-02"/>
  </r>
  <r>
    <n v="15"/>
    <x v="6"/>
    <x v="2"/>
    <s v="Gross profit"/>
    <s v="FY2025"/>
    <n v="2474744"/>
    <s v="千美元"/>
    <s v="UA_2025_AnnualReport.pdf"/>
    <n v="35"/>
    <s v="Gross profit $2474744K"/>
    <x v="0"/>
    <x v="1"/>
    <n v="17818156.800000001"/>
    <s v="千美元×7.2=千元人民币"/>
    <s v="集团TOTAL"/>
    <s v="2026-06-02"/>
  </r>
  <r>
    <n v="15"/>
    <x v="6"/>
    <x v="2"/>
    <s v="Gross margin"/>
    <s v="FY2025"/>
    <n v="47.9"/>
    <s v="%"/>
    <s v="UA_2025_AnnualReport.pdf"/>
    <n v="35"/>
    <s v="Gross margin 47.9%"/>
    <x v="0"/>
    <x v="2"/>
    <n v="47.9"/>
    <s v="直接使用"/>
    <s v="集团TOTAL"/>
    <s v="2026-06-02"/>
  </r>
  <r>
    <n v="15"/>
    <x v="6"/>
    <x v="2"/>
    <s v="Income from operations"/>
    <s v="FY2025"/>
    <n v="-185216"/>
    <s v="千美元"/>
    <s v="UA_2025_AnnualReport.pdf"/>
    <n v="35"/>
    <s v="Operating income $-185216K"/>
    <x v="0"/>
    <x v="3"/>
    <n v="-1333555.2"/>
    <s v="千美元×7.2=千元人民币"/>
    <s v="集团TOTAL"/>
    <s v="2026-06-02"/>
  </r>
  <r>
    <n v="15"/>
    <x v="6"/>
    <x v="2"/>
    <s v="Operating margin"/>
    <s v="FY2025"/>
    <n v="-3.6"/>
    <s v="%"/>
    <s v="UA_2025_AnnualReport.pdf"/>
    <n v="35"/>
    <s v="Operating margin -3.6%"/>
    <x v="0"/>
    <x v="5"/>
    <n v="-3.6"/>
    <s v="直接使用"/>
    <s v="集团TOTAL"/>
    <s v="2026-06-02"/>
  </r>
  <r>
    <n v="15"/>
    <x v="6"/>
    <x v="2"/>
    <s v="Net income"/>
    <s v="FY2025"/>
    <n v="-201267"/>
    <s v="千美元"/>
    <s v="UA_2025_AnnualReport.pdf"/>
    <n v="35"/>
    <s v="Net income $-201267K"/>
    <x v="0"/>
    <x v="6"/>
    <n v="-1449122.4"/>
    <s v="千美元×7.2=千元人民币"/>
    <s v="集团TOTAL"/>
    <s v="2026-06-02"/>
  </r>
  <r>
    <n v="15"/>
    <x v="6"/>
    <x v="2"/>
    <s v="Net margin"/>
    <s v="FY2025"/>
    <n v="-3.9"/>
    <s v="%"/>
    <s v="UA_2025_AnnualReport.pdf"/>
    <n v="35"/>
    <s v="Net margin -3.9%"/>
    <x v="0"/>
    <x v="4"/>
    <n v="-3.9"/>
    <s v="直接使用"/>
    <s v="集团TOTAL"/>
    <s v="2026-06-02"/>
  </r>
  <r>
    <n v="15"/>
    <x v="6"/>
    <x v="2"/>
    <s v="Net revenues"/>
    <s v="FY2024"/>
    <n v="5701879"/>
    <s v="千美元"/>
    <s v="UA_2025_AnnualReport.pdf"/>
    <n v="35"/>
    <s v="Net revenues $5701879K"/>
    <x v="1"/>
    <x v="0"/>
    <n v="41053528.799999997"/>
    <s v="千美元×7.2=千元人民币"/>
    <s v="集团TOTAL"/>
    <s v="2026-06-02"/>
  </r>
  <r>
    <n v="15"/>
    <x v="6"/>
    <x v="2"/>
    <s v="Gross profit"/>
    <s v="FY2024"/>
    <n v="2630253"/>
    <s v="千美元"/>
    <s v="UA_2025_AnnualReport.pdf"/>
    <n v="35"/>
    <s v="Gross profit $2630253K"/>
    <x v="1"/>
    <x v="1"/>
    <n v="18937821.600000001"/>
    <s v="千美元×7.2=千元人民币"/>
    <s v="集团TOTAL"/>
    <s v="2026-06-02"/>
  </r>
  <r>
    <n v="15"/>
    <x v="6"/>
    <x v="2"/>
    <s v="Gross margin"/>
    <s v="FY2024"/>
    <n v="46.1"/>
    <s v="%"/>
    <s v="UA_2025_AnnualReport.pdf"/>
    <n v="35"/>
    <s v="Gross margin 46.1%"/>
    <x v="1"/>
    <x v="2"/>
    <n v="46.1"/>
    <s v="直接使用"/>
    <s v="集团TOTAL"/>
    <s v="2026-06-02"/>
  </r>
  <r>
    <n v="15"/>
    <x v="6"/>
    <x v="2"/>
    <s v="Income from operations"/>
    <s v="FY2024"/>
    <n v="229751"/>
    <s v="千美元"/>
    <s v="UA_2025_AnnualReport.pdf"/>
    <n v="35"/>
    <s v="Operating income $229751K"/>
    <x v="1"/>
    <x v="3"/>
    <n v="1654207.2"/>
    <s v="千美元×7.2=千元人民币"/>
    <s v="集团TOTAL"/>
    <s v="2026-06-02"/>
  </r>
  <r>
    <n v="15"/>
    <x v="6"/>
    <x v="2"/>
    <s v="Operating margin"/>
    <s v="FY2024"/>
    <n v="4"/>
    <s v="%"/>
    <s v="UA_2025_AnnualReport.pdf"/>
    <n v="35"/>
    <s v="Operating margin 4.0%"/>
    <x v="1"/>
    <x v="5"/>
    <n v="4"/>
    <s v="直接使用"/>
    <s v="集团TOTAL"/>
    <s v="2026-06-02"/>
  </r>
  <r>
    <n v="15"/>
    <x v="6"/>
    <x v="2"/>
    <s v="Net income"/>
    <s v="FY2024"/>
    <n v="232042"/>
    <s v="千美元"/>
    <s v="UA_2025_AnnualReport.pdf"/>
    <n v="35"/>
    <s v="Net income $232042K"/>
    <x v="1"/>
    <x v="6"/>
    <n v="1670702.4"/>
    <s v="千美元×7.2=千元人民币"/>
    <s v="集团TOTAL"/>
    <s v="2026-06-02"/>
  </r>
  <r>
    <n v="15"/>
    <x v="6"/>
    <x v="2"/>
    <s v="Net margin"/>
    <s v="FY2024"/>
    <n v="4.0999999999999996"/>
    <s v="%"/>
    <s v="UA_2025_AnnualReport.pdf"/>
    <n v="35"/>
    <s v="Net margin 4.1%"/>
    <x v="1"/>
    <x v="4"/>
    <n v="4.0999999999999996"/>
    <s v="直接使用"/>
    <s v="集团TOTAL"/>
    <s v="2026-06-02"/>
  </r>
  <r>
    <n v="15"/>
    <x v="6"/>
    <x v="2"/>
    <s v="Net revenues"/>
    <s v="FY2023"/>
    <n v="5903165"/>
    <s v="千美元"/>
    <s v="UA_2025_AnnualReport.pdf"/>
    <n v="35"/>
    <s v="Net revenues $5903165K"/>
    <x v="2"/>
    <x v="0"/>
    <n v="42502788"/>
    <s v="千美元×7.2=千元人民币"/>
    <s v="集团TOTAL"/>
    <s v="2026-06-02"/>
  </r>
  <r>
    <n v="15"/>
    <x v="6"/>
    <x v="2"/>
    <s v="Gross margin"/>
    <s v="FY2023"/>
    <n v="45.5"/>
    <s v="%"/>
    <s v="UA_2025_AnnualReport.pdf"/>
    <n v="35"/>
    <s v="Gross margin 45.5%"/>
    <x v="2"/>
    <x v="2"/>
    <n v="45.5"/>
    <s v="直接使用"/>
    <s v="集团TOTAL"/>
    <s v="2026-06-02"/>
  </r>
  <r>
    <n v="15"/>
    <x v="6"/>
    <x v="2"/>
    <s v="Income from operations"/>
    <s v="FY2023"/>
    <n v="0"/>
    <s v="USD"/>
    <s v="UA_2025_AnnualReport.pdf"/>
    <n v="35"/>
    <s v="Operating income $N/AK"/>
    <x v="2"/>
    <x v="3"/>
    <n v="0"/>
    <s v="USD×7.1÷1000=千元RMB"/>
    <s v="集团TOTAL"/>
    <s v="2026-06-02"/>
  </r>
  <r>
    <n v="15"/>
    <x v="6"/>
    <x v="2"/>
    <s v="Operating margin"/>
    <s v="FY2023"/>
    <n v="4.5"/>
    <s v="%"/>
    <s v="UA_2025_AnnualReport.pdf"/>
    <n v="35"/>
    <s v="Operating margin 4.5%"/>
    <x v="2"/>
    <x v="5"/>
    <n v="4.5"/>
    <s v="直接使用"/>
    <s v="集团TOTAL"/>
    <s v="2026-06-02"/>
  </r>
  <r>
    <n v="15"/>
    <x v="6"/>
    <x v="2"/>
    <s v="Net income"/>
    <s v="FY2023"/>
    <n v="0"/>
    <s v="USD"/>
    <s v="UA_2025_AnnualReport.pdf"/>
    <n v="35"/>
    <s v="Net income $N/AK"/>
    <x v="2"/>
    <x v="6"/>
    <n v="0"/>
    <s v="USD×7.1÷1000=千元RMB"/>
    <s v="集团TOTAL"/>
    <s v="2026-06-02"/>
  </r>
  <r>
    <n v="15"/>
    <x v="6"/>
    <x v="2"/>
    <s v="Net margin"/>
    <s v="FY2023"/>
    <n v="3.8"/>
    <s v="%"/>
    <s v="UA_2025_AnnualReport.pdf"/>
    <n v="35"/>
    <s v="Net margin 3.8%"/>
    <x v="2"/>
    <x v="4"/>
    <n v="3.8"/>
    <s v="直接使用"/>
    <s v="集团TOTAL"/>
    <s v="2026-06-02"/>
  </r>
  <r>
    <n v="5"/>
    <x v="7"/>
    <x v="2"/>
    <s v="Net margin"/>
    <s v="FY2024"/>
    <n v="9.423957224925795"/>
    <s v="%"/>
    <s v="ASICS FY2024 Annual Report.pdf"/>
    <n v="10"/>
    <s v="Net margin 8.7%"/>
    <x v="1"/>
    <x v="4"/>
    <n v="9.423957224925795"/>
    <s v="直接使用"/>
    <s v="集团TOTAL"/>
    <s v="2026-06-02"/>
  </r>
  <r>
    <n v="5"/>
    <x v="7"/>
    <x v="2"/>
    <s v="Net sales"/>
    <s v="FY2023"/>
    <n v="570463000000"/>
    <s v="JPY"/>
    <s v="ASICS FY2024 Annual Report.pdf"/>
    <n v="10"/>
    <s v="Net sales ¥570463M"/>
    <x v="2"/>
    <x v="0"/>
    <n v="28523150"/>
    <s v="JPY×0.05÷1000=千元RMB"/>
    <s v="集团TOTAL"/>
    <s v="2026-06-02"/>
  </r>
  <r>
    <n v="5"/>
    <x v="7"/>
    <x v="2"/>
    <s v="Gross profit"/>
    <s v="FY2023"/>
    <n v="296896000000"/>
    <s v="JPY"/>
    <s v="ASICS FY2024 Annual Report.pdf"/>
    <n v="10"/>
    <s v="Gross profit ¥296896M"/>
    <x v="2"/>
    <x v="1"/>
    <n v="14844800"/>
    <s v="JPY×0.05÷1000=千元RMB"/>
    <s v="集团TOTAL"/>
    <s v="2026-06-02"/>
  </r>
  <r>
    <n v="5"/>
    <x v="7"/>
    <x v="2"/>
    <s v="Gross margin"/>
    <s v="FY2023"/>
    <n v="52"/>
    <s v="%"/>
    <s v="ASICS FY2024 Annual Report.pdf"/>
    <n v="10"/>
    <s v="Gross margin 52.0%"/>
    <x v="2"/>
    <x v="2"/>
    <n v="52"/>
    <s v="直接使用"/>
    <s v="集团TOTAL"/>
    <s v="2026-06-02"/>
  </r>
  <r>
    <n v="5"/>
    <x v="7"/>
    <x v="2"/>
    <s v="Operating profit"/>
    <s v="FY2023"/>
    <n v="54215000000"/>
    <s v="JPY"/>
    <s v="ASICS FY2024 Annual Report.pdf"/>
    <n v="10"/>
    <s v="Operating profit ¥54215M"/>
    <x v="2"/>
    <x v="3"/>
    <n v="2710750"/>
    <s v="JPY×0.05÷1000=千元RMB"/>
    <s v="集团TOTAL"/>
    <s v="2026-06-02"/>
  </r>
  <r>
    <n v="5"/>
    <x v="7"/>
    <x v="2"/>
    <s v="Operating margin"/>
    <s v="FY2023"/>
    <n v="9.5"/>
    <s v="%"/>
    <s v="ASICS FY2024 Annual Report.pdf"/>
    <n v="10"/>
    <s v="Operating margin 9.5%"/>
    <x v="2"/>
    <x v="5"/>
    <n v="9.5"/>
    <s v="直接使用"/>
    <s v="集团TOTAL"/>
    <s v="2026-06-02"/>
  </r>
  <r>
    <n v="5"/>
    <x v="7"/>
    <x v="2"/>
    <s v="Net profit"/>
    <s v="FY2023"/>
    <n v="35453000000"/>
    <s v="JPY"/>
    <s v="ASICS FY2024 Annual Report.pdf"/>
    <n v="10"/>
    <s v="Net profit ¥35453M"/>
    <x v="2"/>
    <x v="6"/>
    <n v="1772650"/>
    <s v="JPY×0.05÷1000=千元RMB"/>
    <s v="集团TOTAL"/>
    <s v="2026-06-02"/>
  </r>
  <r>
    <n v="5"/>
    <x v="7"/>
    <x v="2"/>
    <s v="Net margin"/>
    <s v="FY2023"/>
    <n v="6.2"/>
    <s v="%"/>
    <s v="ASICS FY2024 Annual Report.pdf"/>
    <n v="10"/>
    <s v="Net margin 6.2%"/>
    <x v="2"/>
    <x v="4"/>
    <n v="6.2"/>
    <s v="直接使用"/>
    <s v="集团TOTAL"/>
    <s v="2026-06-02"/>
  </r>
  <r>
    <n v="18"/>
    <x v="0"/>
    <x v="0"/>
    <s v="广告及推广费用率"/>
    <s v="FY2025"/>
    <n v="10.5"/>
    <s v="%"/>
    <s v="安踏体育：二零二五年年报.pdf"/>
    <n v="13"/>
    <s v="广告及推广费用率 10.5%"/>
    <x v="0"/>
    <x v="7"/>
    <n v="10.5"/>
    <s v="费用/收入×100%"/>
    <s v="集团TOTAL"/>
    <s v="2026-06-02"/>
  </r>
  <r>
    <n v="18"/>
    <x v="0"/>
    <x v="0"/>
    <s v="员工成本率"/>
    <s v="FY2025"/>
    <n v="11.5"/>
    <s v="%"/>
    <s v="安踏体育：二零二五年年报.pdf"/>
    <n v="13"/>
    <s v="员工成本率 11.5%"/>
    <x v="0"/>
    <x v="8"/>
    <n v="11.5"/>
    <s v="费用/收入×100%"/>
    <s v="集团TOTAL"/>
    <s v="2026-06-02"/>
  </r>
  <r>
    <n v="18"/>
    <x v="0"/>
    <x v="0"/>
    <s v="研发活动成本比率"/>
    <s v="FY2025"/>
    <n v="2.7"/>
    <s v="%"/>
    <s v="安踏体育：二零二五年年报.pdf"/>
    <n v="13"/>
    <m/>
    <x v="0"/>
    <x v="9"/>
    <n v="2.7"/>
    <m/>
    <m/>
    <d v="2026-06-09T00:00:00"/>
  </r>
  <r>
    <n v="18"/>
    <x v="0"/>
    <x v="0"/>
    <s v="经营费用率"/>
    <s v="FY2025"/>
    <n v="24.7"/>
    <s v="%"/>
    <s v="安踏体育：二零二五年年报.pdf"/>
    <n v="13"/>
    <m/>
    <x v="0"/>
    <x v="10"/>
    <n v="24.7"/>
    <m/>
    <m/>
    <d v="2026-06-09T00:00:00"/>
  </r>
  <r>
    <n v="18"/>
    <x v="0"/>
    <x v="0"/>
    <s v="广告及推广费用率"/>
    <s v="FY2024"/>
    <n v="10.199999999999999"/>
    <s v="%"/>
    <s v="安踏体育：二零二五年年报.pdf"/>
    <n v="13"/>
    <s v="广告及推广费用率 10.2%"/>
    <x v="1"/>
    <x v="7"/>
    <n v="10.199999999999999"/>
    <s v="费用/收入×100%"/>
    <s v="集团TOTAL"/>
    <s v="2026-06-02"/>
  </r>
  <r>
    <n v="18"/>
    <x v="0"/>
    <x v="0"/>
    <s v="员工成本率"/>
    <s v="FY2024"/>
    <n v="11"/>
    <s v="%"/>
    <s v="安踏体育：二零二五年年报.pdf"/>
    <n v="13"/>
    <s v="员工成本率 11.0%"/>
    <x v="1"/>
    <x v="8"/>
    <n v="11"/>
    <s v="费用/收入×100%"/>
    <s v="集团TOTAL"/>
    <s v="2026-06-02"/>
  </r>
  <r>
    <n v="19"/>
    <x v="0"/>
    <x v="0"/>
    <s v="研发活动成本比率"/>
    <s v="FY2024"/>
    <n v="2.8"/>
    <s v="%"/>
    <s v="安踏体育：二零二五年年报.pdf"/>
    <n v="13"/>
    <m/>
    <x v="1"/>
    <x v="9"/>
    <n v="2.8"/>
    <m/>
    <m/>
    <d v="2026-06-09T00:00:00"/>
  </r>
  <r>
    <n v="20"/>
    <x v="0"/>
    <x v="0"/>
    <s v="经营费用率"/>
    <s v="FY2024"/>
    <n v="24"/>
    <s v="%"/>
    <s v="安踏体育：二零二五年年报.pdf"/>
    <n v="13"/>
    <m/>
    <x v="1"/>
    <x v="10"/>
    <n v="24"/>
    <m/>
    <m/>
    <d v="2026-06-09T00:00:00"/>
  </r>
  <r>
    <n v="21"/>
    <x v="0"/>
    <x v="0"/>
    <s v="广告及推广费用率"/>
    <s v="FY2023"/>
    <n v="10"/>
    <s v="%"/>
    <s v="安踏体育：二零二五年年报.pdf"/>
    <n v="13"/>
    <s v="广告及推广费用率 10.0%"/>
    <x v="2"/>
    <x v="7"/>
    <n v="10"/>
    <s v="费用/收入×100%"/>
    <s v="集团TOTAL"/>
    <s v="2026-06-02"/>
  </r>
  <r>
    <n v="22"/>
    <x v="0"/>
    <x v="0"/>
    <s v="员工成本率"/>
    <s v="FY2023"/>
    <n v="10.8"/>
    <s v="%"/>
    <s v="安踏体育：二零二五年年报.pdf"/>
    <n v="13"/>
    <s v="员工成本率 10.8%"/>
    <x v="2"/>
    <x v="8"/>
    <n v="10.8"/>
    <s v="费用/收入×100%"/>
    <s v="集团TOTAL"/>
    <s v="2026-06-02"/>
  </r>
  <r>
    <n v="23"/>
    <x v="0"/>
    <x v="0"/>
    <s v="研发活动成本比率"/>
    <s v="FY2023"/>
    <n v="2.6"/>
    <s v="%"/>
    <s v="安踏体育：二零二五年年报.pdf"/>
    <n v="13"/>
    <m/>
    <x v="2"/>
    <x v="9"/>
    <n v="2.6"/>
    <m/>
    <m/>
    <d v="2026-06-09T00:00:00"/>
  </r>
  <r>
    <n v="24"/>
    <x v="0"/>
    <x v="0"/>
    <s v="经营费用率"/>
    <s v="FY2023"/>
    <n v="23.400000000000002"/>
    <s v="%"/>
    <s v="安踏体育：二零二五年年报.pdf"/>
    <n v="13"/>
    <m/>
    <x v="2"/>
    <x v="10"/>
    <n v="23.400000000000002"/>
    <m/>
    <m/>
    <d v="2026-06-09T00:00:00"/>
  </r>
  <r>
    <n v="4"/>
    <x v="4"/>
    <x v="1"/>
    <s v="运营费用率(SG&amp;A)"/>
    <s v="FY2025"/>
    <n v="42"/>
    <s v="%"/>
    <s v="annual-report-adidas-ar25.pdf"/>
    <n v="111"/>
    <s v="运营费用率(SG&amp;A) 42.0%"/>
    <x v="0"/>
    <x v="10"/>
    <n v="42"/>
    <s v="SG&amp;A/收入×100%"/>
    <s v="大中华区"/>
    <s v="2026-06-02"/>
  </r>
  <r>
    <n v="4"/>
    <x v="4"/>
    <x v="1"/>
    <s v="运营费用率(SG&amp;A)"/>
    <s v="FY2024"/>
    <n v="43"/>
    <s v="%"/>
    <s v="annual-report-adidas-ar25.pdf"/>
    <n v="111"/>
    <s v="运营费用率(SG&amp;A) 43.0%"/>
    <x v="1"/>
    <x v="10"/>
    <n v="43"/>
    <s v="SG&amp;A/收入×100%"/>
    <s v="大中华区"/>
    <s v="2026-06-02"/>
  </r>
  <r>
    <n v="4"/>
    <x v="4"/>
    <x v="1"/>
    <s v="运营费用率(SG&amp;A)"/>
    <s v="FY2023"/>
    <n v="45"/>
    <s v="%"/>
    <s v="annual-report-adidas-ar25.pdf"/>
    <n v="111"/>
    <s v="运营费用率(SG&amp;A) 45.0%"/>
    <x v="2"/>
    <x v="10"/>
    <n v="45"/>
    <s v="SG&amp;A/收入×100%"/>
    <s v="大中华区"/>
    <s v="2026-06-02"/>
  </r>
  <r>
    <n v="2"/>
    <x v="5"/>
    <x v="2"/>
    <s v="SG&amp;A率"/>
    <s v="FY2024"/>
    <n v="43.1"/>
    <s v="%"/>
    <s v="annual-report-10-k-73611-2025-02-28-09-59-17.pdf"/>
    <n v="24"/>
    <s v="SG&amp;A率 43.1%"/>
    <x v="1"/>
    <x v="10"/>
    <n v="43.1"/>
    <s v="SG&amp;A/收入×100%"/>
    <s v="集团TOTAL"/>
    <s v="2026-06-02"/>
  </r>
  <r>
    <n v="2"/>
    <x v="5"/>
    <x v="2"/>
    <s v="广告费用率"/>
    <s v="FY2024"/>
    <n v="9.5"/>
    <s v="%"/>
    <s v="Skechers-2025-10K.pdf"/>
    <n v="24"/>
    <s v="广告费用率 9.5%"/>
    <x v="1"/>
    <x v="7"/>
    <n v="9.5"/>
    <s v="SG&amp;A/收入×100%"/>
    <s v="集团TOTAL"/>
    <s v="2026-06-02"/>
  </r>
  <r>
    <n v="2"/>
    <x v="5"/>
    <x v="2"/>
    <s v="SG&amp;A率"/>
    <s v="FY2023"/>
    <n v="42.1"/>
    <s v="%"/>
    <s v="annual-report-10-k-73611-2025-02-28-09-59-17.pdf"/>
    <n v="24"/>
    <s v="SG&amp;A率 42.1%"/>
    <x v="2"/>
    <x v="10"/>
    <n v="42.1"/>
    <s v="SG&amp;A/收入×100%"/>
    <s v="集团TOTAL"/>
    <s v="2026-06-02"/>
  </r>
  <r>
    <n v="2"/>
    <x v="5"/>
    <x v="2"/>
    <s v="广告费用率"/>
    <s v="FY2023"/>
    <n v="9"/>
    <s v="%"/>
    <s v="Skechers-2025-10K.pdf"/>
    <n v="24"/>
    <s v="广告费用率 9.0%"/>
    <x v="2"/>
    <x v="7"/>
    <n v="9"/>
    <s v="SG&amp;A/收入×100%"/>
    <s v="集团TOTAL"/>
    <s v="2026-06-02"/>
  </r>
  <r>
    <n v="18"/>
    <x v="0"/>
    <x v="0"/>
    <s v="存货周转天数"/>
    <s v="FY2025"/>
    <n v="85"/>
    <s v="days"/>
    <s v="安踏体育：二零二五年年报.pdf"/>
    <n v="13"/>
    <s v="存货周转天数 85.0"/>
    <x v="0"/>
    <x v="11"/>
    <n v="85"/>
    <s v="平均存货/销售成本×365"/>
    <s v="集团TOTAL"/>
    <s v="2026-06-02"/>
  </r>
  <r>
    <n v="18"/>
    <x v="0"/>
    <x v="0"/>
    <s v="存货周转天数"/>
    <s v="FY2024"/>
    <n v="82"/>
    <s v="days"/>
    <s v="安踏体育：二零二五年年报.pdf"/>
    <n v="13"/>
    <s v="存货周转天数 82.0"/>
    <x v="1"/>
    <x v="11"/>
    <n v="82"/>
    <s v="平均存货/销售成本×365"/>
    <s v="集团TOTAL"/>
    <s v="2026-06-02"/>
  </r>
  <r>
    <n v="18"/>
    <x v="0"/>
    <x v="0"/>
    <s v="存货周转天数"/>
    <s v="FY2023"/>
    <n v="88"/>
    <s v="days"/>
    <s v="安踏体育：二零二五年年报.pdf"/>
    <n v="13"/>
    <s v="存货周转天数 88.0"/>
    <x v="2"/>
    <x v="11"/>
    <n v="88"/>
    <s v="平均存货/销售成本×365"/>
    <s v="集团TOTAL"/>
    <s v="2026-06-02"/>
  </r>
  <r>
    <n v="18"/>
    <x v="0"/>
    <x v="2"/>
    <s v="单店平均零售额 / Sales per store"/>
    <s v="FY2025"/>
    <n v="6684.916666666667"/>
    <s v="千元/店"/>
    <s v="安踏体育：二零二五年年报.pdf"/>
    <n v="15"/>
    <s v="门店数 12000"/>
    <x v="0"/>
    <x v="12"/>
    <n v="6684.916666666667"/>
    <s v="集团收入/门店数"/>
    <s v="门店数约12000"/>
    <s v="2026-06-02"/>
  </r>
  <r>
    <n v="18"/>
    <x v="0"/>
    <x v="2"/>
    <s v="单店平均零售额 / Sales per store"/>
    <s v="FY2024"/>
    <n v="6438.727272727273"/>
    <s v="千元/店"/>
    <s v="安踏体育：二零二五年年报.pdf"/>
    <n v="15"/>
    <s v="门店数 11000"/>
    <x v="1"/>
    <x v="12"/>
    <n v="6438.727272727273"/>
    <s v="集团收入/门店数"/>
    <s v="门店数约11000"/>
    <s v="2026-06-02"/>
  </r>
  <r>
    <n v="18"/>
    <x v="0"/>
    <x v="2"/>
    <s v="单店平均零售额 / Sales per store"/>
    <s v="FY2023"/>
    <n v="5938.666666666667"/>
    <s v="千元/店"/>
    <s v="安踏体育：二零二五年年报.pdf"/>
    <n v="15"/>
    <s v="门店数 10500"/>
    <x v="2"/>
    <x v="12"/>
    <n v="5938.666666666667"/>
    <s v="集团收入/门店数"/>
    <s v="门店数约10500"/>
    <s v="2026-06-02"/>
  </r>
  <r>
    <n v="4"/>
    <x v="4"/>
    <x v="1"/>
    <s v="Days inventory outstanding (DIO)"/>
    <s v="FY2025"/>
    <n v="120"/>
    <s v="days"/>
    <s v="annual-report-adidas-ar25.pdf"/>
    <n v="111"/>
    <s v="DIO 120.0"/>
    <x v="0"/>
    <x v="11"/>
    <n v="120"/>
    <s v="平均存货/销货成本×365"/>
    <s v="大中华区"/>
    <s v="2026-06-02"/>
  </r>
  <r>
    <n v="4"/>
    <x v="4"/>
    <x v="1"/>
    <s v="Days inventory outstanding (DIO)"/>
    <s v="FY2024"/>
    <n v="125"/>
    <s v="days"/>
    <s v="annual-report-adidas-ar25.pdf"/>
    <n v="111"/>
    <s v="DIO 125.0"/>
    <x v="1"/>
    <x v="11"/>
    <n v="125"/>
    <s v="平均存货/销货成本×365"/>
    <s v="大中华区"/>
    <s v="2026-06-02"/>
  </r>
  <r>
    <n v="4"/>
    <x v="4"/>
    <x v="1"/>
    <s v="Days inventory outstanding (DIO)"/>
    <s v="FY2023"/>
    <n v="130"/>
    <s v="days"/>
    <s v="annual-report-adidas-ar25.pdf"/>
    <n v="111"/>
    <s v="DIO 130.0"/>
    <x v="2"/>
    <x v="11"/>
    <n v="130"/>
    <s v="平均存货/销货成本×365"/>
    <s v="大中华区"/>
    <s v="2026-06-02"/>
  </r>
  <r>
    <n v="3"/>
    <x v="8"/>
    <x v="1"/>
    <s v="Total revenues"/>
    <s v="FY20250531"/>
    <n v="6586"/>
    <s v="百万美元"/>
    <s v="Nike-Inc-2025_10K.pdf"/>
    <n v="43"/>
    <s v="Total revenues $6586 million"/>
    <x v="0"/>
    <x v="0"/>
    <n v="47419200"/>
    <s v="百万美元×7.27×1000=千元RMB"/>
    <s v="大中华区"/>
    <s v="2026-06-02"/>
  </r>
  <r>
    <n v="3"/>
    <x v="8"/>
    <x v="1"/>
    <s v="Gross profit"/>
    <s v="FY20250531"/>
    <n v="3028"/>
    <s v="百万美元"/>
    <s v="Nike-Inc-2025_10K.pdf"/>
    <n v="43"/>
    <s v="Gross profit $3028M"/>
    <x v="0"/>
    <x v="1"/>
    <n v="21801600"/>
    <s v="百万美元×7.27×1000=千元RMB"/>
    <s v="大中华区"/>
    <s v="2026-06-02"/>
  </r>
  <r>
    <n v="3"/>
    <x v="8"/>
    <x v="1"/>
    <s v="Gross margin"/>
    <s v="FY20250531"/>
    <n v="46"/>
    <s v="%"/>
    <s v="Nike-Inc-2025_10K.pdf"/>
    <n v="43"/>
    <s v="Gross margin 46.0%"/>
    <x v="0"/>
    <x v="2"/>
    <n v="46"/>
    <s v="直接使用"/>
    <s v="大中华区"/>
    <s v="2026-06-02"/>
  </r>
  <r>
    <n v="3"/>
    <x v="8"/>
    <x v="1"/>
    <s v="EBIT"/>
    <s v="FY20250531"/>
    <n v="1602"/>
    <s v="百万美元"/>
    <s v="Nike-Inc-2025_10K.pdf"/>
    <n v="43"/>
    <s v="EARNINGS BEFORE INTEREST AND TAXES $1602M"/>
    <x v="0"/>
    <x v="3"/>
    <n v="11534400"/>
    <s v="百万美元×7.27×1000=千元RMB"/>
    <s v="大中华区"/>
    <s v="2026-06-02"/>
  </r>
  <r>
    <n v="3"/>
    <x v="8"/>
    <x v="1"/>
    <s v="EBIT margin"/>
    <s v="FY20250531"/>
    <n v="24.3"/>
    <s v="%"/>
    <s v="Nike-Inc-2025_10K.pdf"/>
    <n v="43"/>
    <s v="EBIT 1602/Revenue 6586"/>
    <x v="0"/>
    <x v="5"/>
    <n v="24.3"/>
    <s v="EBIT/收入×100%"/>
    <s v="大中华区"/>
    <s v="2026-06-02"/>
  </r>
  <r>
    <n v="3"/>
    <x v="8"/>
    <x v="1"/>
    <s v="Net margin"/>
    <s v="FY20250531"/>
    <n v="18.2"/>
    <s v="%"/>
    <s v="Nike-Inc-2025_10K.pdf"/>
    <n v="43"/>
    <s v="Estimated net margin"/>
    <x v="0"/>
    <x v="4"/>
    <n v="18.2"/>
    <s v="估算值"/>
    <s v="大中华区(估算)"/>
    <s v="2026-06-02"/>
  </r>
  <r>
    <n v="3"/>
    <x v="8"/>
    <x v="1"/>
    <s v="Days sales of inventory"/>
    <s v="FY20250531"/>
    <n v="73"/>
    <s v="days"/>
    <s v="Nike-Inc-2025_10K.pdf"/>
    <n v="65"/>
    <s v="DSI ~73 days"/>
    <x v="0"/>
    <x v="11"/>
    <n v="73"/>
    <s v="平均存货/销货成本×365"/>
    <s v="大中华区(参考全球)"/>
    <s v="2026-06-02"/>
  </r>
  <r>
    <n v="3"/>
    <x v="8"/>
    <x v="1"/>
    <s v="Operating expense ratio"/>
    <s v="FY20250531"/>
    <n v="35.700000000000003"/>
    <s v="%"/>
    <s v="Nike-Inc-2025_10K.pdf"/>
    <n v="43"/>
    <s v="Operating expense ratio 35.7%"/>
    <x v="0"/>
    <x v="10"/>
    <n v="35.700000000000003"/>
    <s v="运营费用/收入×100%"/>
    <s v="大中华区"/>
    <s v="2026-06-02"/>
  </r>
  <r>
    <n v="3"/>
    <x v="8"/>
    <x v="1"/>
    <s v="Total revenues"/>
    <s v="FY20240531"/>
    <n v="7545"/>
    <s v="百万美元"/>
    <s v="Nike-Inc-2025_10K.pdf"/>
    <n v="43"/>
    <s v="Total revenues $7545 million"/>
    <x v="1"/>
    <x v="0"/>
    <n v="54324000"/>
    <s v="百万美元×7.24×1000=千元RMB"/>
    <s v="大中华区"/>
    <s v="2026-06-02"/>
  </r>
  <r>
    <n v="3"/>
    <x v="8"/>
    <x v="1"/>
    <s v="Gross profit"/>
    <s v="FY20240531"/>
    <n v="3784"/>
    <s v="百万美元"/>
    <s v="Nike-Inc-2025_10K.pdf"/>
    <n v="43"/>
    <s v="Gross profit $3784M"/>
    <x v="1"/>
    <x v="1"/>
    <n v="27244800"/>
    <s v="百万美元×7.24×1000=千元RMB"/>
    <s v="大中华区"/>
    <s v="2026-06-02"/>
  </r>
  <r>
    <n v="3"/>
    <x v="8"/>
    <x v="1"/>
    <s v="Gross margin"/>
    <s v="FY20240531"/>
    <n v="50.2"/>
    <s v="%"/>
    <s v="Nike-Inc-2025_10K.pdf"/>
    <n v="43"/>
    <s v="Gross margin 50.2%"/>
    <x v="1"/>
    <x v="2"/>
    <n v="50.2"/>
    <s v="直接使用"/>
    <s v="大中华区"/>
    <s v="2026-06-02"/>
  </r>
  <r>
    <n v="3"/>
    <x v="8"/>
    <x v="1"/>
    <s v="EBIT"/>
    <s v="FY20240531"/>
    <n v="2309"/>
    <s v="百万美元"/>
    <s v="Nike-Inc-2025_10K.pdf"/>
    <n v="43"/>
    <s v="EARNINGS BEFORE INTEREST AND TAXES $2309M"/>
    <x v="1"/>
    <x v="3"/>
    <n v="16624800"/>
    <s v="百万美元×7.24×1000=千元RMB"/>
    <s v="大中华区"/>
    <s v="2026-06-02"/>
  </r>
  <r>
    <n v="3"/>
    <x v="8"/>
    <x v="1"/>
    <s v="EBIT margin"/>
    <s v="FY20240531"/>
    <n v="30.6"/>
    <s v="%"/>
    <s v="Nike-Inc-2025_10K.pdf"/>
    <n v="43"/>
    <s v="EBIT 2309/Revenue 7545"/>
    <x v="1"/>
    <x v="5"/>
    <n v="30.6"/>
    <s v="EBIT/收入×100%"/>
    <s v="大中华区"/>
    <s v="2026-06-02"/>
  </r>
  <r>
    <n v="3"/>
    <x v="8"/>
    <x v="1"/>
    <s v="Net margin"/>
    <s v="FY20240531"/>
    <n v="23"/>
    <s v="%"/>
    <s v="Nike-Inc-2025_10K.pdf"/>
    <n v="43"/>
    <s v="Estimated net margin"/>
    <x v="1"/>
    <x v="4"/>
    <n v="23"/>
    <s v="估算值"/>
    <s v="大中华区(估算)"/>
    <s v="2026-06-02"/>
  </r>
  <r>
    <n v="3"/>
    <x v="8"/>
    <x v="1"/>
    <s v="Days sales of inventory"/>
    <s v="FY20240531"/>
    <n v="73"/>
    <s v="days"/>
    <s v="Nike-Inc-2025_10K.pdf"/>
    <n v="65"/>
    <s v="DSI ~73 days"/>
    <x v="1"/>
    <x v="11"/>
    <n v="73"/>
    <s v="平均存货/销货成本×365"/>
    <s v="大中华区(参考全球)"/>
    <s v="2026-06-02"/>
  </r>
  <r>
    <n v="3"/>
    <x v="8"/>
    <x v="1"/>
    <s v="Operating expense ratio"/>
    <s v="FY20240531"/>
    <n v="34.5"/>
    <s v="%"/>
    <s v="Nike-Inc-2025_10K.pdf"/>
    <n v="43"/>
    <s v="Operating expense ratio 34.5%"/>
    <x v="1"/>
    <x v="10"/>
    <n v="34.5"/>
    <s v="运营费用/收入×100%"/>
    <s v="大中华区"/>
    <s v="2026-06-02"/>
  </r>
  <r>
    <n v="3"/>
    <x v="8"/>
    <x v="1"/>
    <s v="Total revenues"/>
    <s v="FY20230531"/>
    <n v="7248"/>
    <s v="百万美元"/>
    <s v="Nike-Inc-2025_10K.pdf"/>
    <n v="43"/>
    <s v="Total revenues $7248 million"/>
    <x v="2"/>
    <x v="0"/>
    <n v="52185600"/>
    <s v="百万美元×7.1×1000=千元RMB"/>
    <s v="大中华区"/>
    <s v="2026-06-02"/>
  </r>
  <r>
    <n v="3"/>
    <x v="8"/>
    <x v="1"/>
    <s v="Gross profit"/>
    <s v="FY20230531"/>
    <n v="3696"/>
    <s v="百万美元"/>
    <s v="Nike-Inc-2025_10K.pdf"/>
    <n v="43"/>
    <s v="Gross profit $3696M"/>
    <x v="2"/>
    <x v="1"/>
    <n v="26611200"/>
    <s v="百万美元×7.1×1000=千元RMB"/>
    <s v="大中华区"/>
    <s v="2026-06-02"/>
  </r>
  <r>
    <n v="3"/>
    <x v="8"/>
    <x v="1"/>
    <s v="Gross margin"/>
    <s v="FY20230531"/>
    <n v="51"/>
    <s v="%"/>
    <s v="Nike-Inc-2025_10K.pdf"/>
    <n v="43"/>
    <s v="Gross margin 51.0%"/>
    <x v="2"/>
    <x v="2"/>
    <n v="51"/>
    <s v="直接使用"/>
    <s v="大中华区"/>
    <s v="2026-06-02"/>
  </r>
  <r>
    <n v="3"/>
    <x v="8"/>
    <x v="1"/>
    <s v="EBIT"/>
    <s v="FY20230531"/>
    <n v="2283"/>
    <s v="百万美元"/>
    <s v="Nike-Inc-2025_10K.pdf"/>
    <n v="43"/>
    <s v="EARNINGS BEFORE INTEREST AND TAXES $2283M"/>
    <x v="2"/>
    <x v="3"/>
    <n v="16437600"/>
    <s v="百万美元×7.1×1000=千元RMB"/>
    <s v="大中华区"/>
    <s v="2026-06-02"/>
  </r>
  <r>
    <n v="3"/>
    <x v="8"/>
    <x v="1"/>
    <s v="EBIT margin"/>
    <s v="FY20230531"/>
    <n v="31.5"/>
    <s v="%"/>
    <s v="Nike-Inc-2025_10K.pdf"/>
    <n v="43"/>
    <s v="EBIT 2283/Revenue 7248"/>
    <x v="2"/>
    <x v="5"/>
    <n v="31.5"/>
    <s v="EBIT/收入×100%"/>
    <s v="大中华区"/>
    <s v="2026-06-02"/>
  </r>
  <r>
    <n v="3"/>
    <x v="8"/>
    <x v="1"/>
    <s v="Net margin"/>
    <s v="FY20230531"/>
    <n v="23.6"/>
    <s v="%"/>
    <s v="Nike-Inc-2025_10K.pdf"/>
    <n v="43"/>
    <s v="Estimated net margin"/>
    <x v="2"/>
    <x v="4"/>
    <n v="23.6"/>
    <s v="估算值"/>
    <s v="大中华区(估算)"/>
    <s v="2026-06-02"/>
  </r>
  <r>
    <n v="3"/>
    <x v="8"/>
    <x v="1"/>
    <s v="Days sales of inventory"/>
    <s v="FY20230531"/>
    <n v="75"/>
    <s v="days"/>
    <s v="Nike-Inc-2025_10K.pdf"/>
    <n v="65"/>
    <s v="DSI ~73 days"/>
    <x v="2"/>
    <x v="11"/>
    <n v="75"/>
    <s v="平均存货/销货成本×365"/>
    <s v="大中华区(参考全球)"/>
    <s v="2026-06-02"/>
  </r>
  <r>
    <n v="3"/>
    <x v="8"/>
    <x v="1"/>
    <s v="Operating expense ratio"/>
    <s v="FY20230531"/>
    <n v="33.799999999999997"/>
    <s v="%"/>
    <s v="Nike-Inc-2025_10K.pdf"/>
    <n v="43"/>
    <s v="Operating expense ratio 33.8%"/>
    <x v="2"/>
    <x v="10"/>
    <n v="33.799999999999997"/>
    <s v="运营费用/收入×100%"/>
    <s v="大中华区"/>
    <s v="2026-06-02"/>
  </r>
  <r>
    <n v="5"/>
    <x v="7"/>
    <x v="2"/>
    <s v="SG&amp;A expenses"/>
    <s v="FY2023"/>
    <n v="242680"/>
    <s v="百万日元"/>
    <s v="2024Q4 Annual Report"/>
    <n v="10"/>
    <s v="SG&amp;A ratio 36.5% = Operating expenses / Revenue"/>
    <x v="2"/>
    <x v="13"/>
    <n v="11648640"/>
    <s v="运营费用/收入×100%，基于SG&amp;A费用计算"/>
    <s v="集团TOTAL"/>
    <s v="2026-06-02"/>
  </r>
  <r>
    <n v="5"/>
    <x v="7"/>
    <x v="2"/>
    <s v="SG&amp;A expenses ratio"/>
    <s v="FY2023"/>
    <n v="36.200000000000003"/>
    <s v="%"/>
    <s v="2024Q4 Annual Report"/>
    <n v="10"/>
    <s v="SG&amp;A ratio 36.2% = Operating expenses / Revenue"/>
    <x v="2"/>
    <x v="10"/>
    <n v="36.200000000000003"/>
    <s v="运营费用/收入×100%，基于SG&amp;A费用计算"/>
    <s v="集团TOTAL"/>
    <s v="2026-06-02"/>
  </r>
  <r>
    <n v="15"/>
    <x v="6"/>
    <x v="2"/>
    <s v="SG&amp;A expenses ratio"/>
    <s v="FY2025"/>
    <n v="42"/>
    <s v="%"/>
    <s v="Under-Armour-2025-10K.pdf"/>
    <s v="财务摘要"/>
    <s v="SG&amp;A ratio 42.0% = Operating expenses / Revenue"/>
    <x v="0"/>
    <x v="10"/>
    <n v="42"/>
    <s v="运营费用/收入×100%，基于SG&amp;A费用计算"/>
    <s v="集团TOTAL"/>
    <s v="2026-06-02"/>
  </r>
  <r>
    <n v="15"/>
    <x v="6"/>
    <x v="2"/>
    <s v="SG&amp;A expenses ratio"/>
    <s v="FY2024"/>
    <n v="41.5"/>
    <s v="%"/>
    <s v="Under-Armour-2025-10K.pdf"/>
    <s v="财务摘要"/>
    <s v="SG&amp;A ratio 41.5% = Operating expenses / Revenue"/>
    <x v="1"/>
    <x v="10"/>
    <n v="41.5"/>
    <s v="运营费用/收入×100%，基于SG&amp;A费用计算"/>
    <s v="集团TOTAL"/>
    <s v="2026-06-02"/>
  </r>
  <r>
    <n v="15"/>
    <x v="6"/>
    <x v="2"/>
    <s v="SG&amp;A expenses ratio"/>
    <s v="FY2023"/>
    <n v="40.799999999999997"/>
    <s v="%"/>
    <s v="Under-Armour-2025-10K.pdf"/>
    <s v="财务摘要"/>
    <s v="SG&amp;A ratio 40.8% = Operating expenses / Revenue"/>
    <x v="2"/>
    <x v="10"/>
    <n v="40.799999999999997"/>
    <s v="运营费用/收入×100%，基于SG&amp;A费用计算"/>
    <s v="集团TOTAL"/>
    <s v="2026-06-02"/>
  </r>
  <r>
    <n v="11"/>
    <x v="9"/>
    <x v="2"/>
    <s v="SG&amp;A expenses ratio"/>
    <s v="FY2025"/>
    <n v="18.017231497287572"/>
    <s v="%"/>
    <s v="Giant-Manufacturing-2024.pdf"/>
    <s v="财务摘要"/>
    <s v="SG&amp;A ratio 18.0% = Operating expenses / Revenue"/>
    <x v="0"/>
    <x v="10"/>
    <n v="18.017231497287572"/>
    <s v="运营费用/收入×100%，基于SG&amp;A费用计算"/>
    <s v="集团TOTAL"/>
    <s v="2026-06-02"/>
  </r>
  <r>
    <n v="11"/>
    <x v="9"/>
    <x v="2"/>
    <s v="SG&amp;A expenses ratio"/>
    <s v="FY2024"/>
    <n v="16.380126470192273"/>
    <s v="%"/>
    <s v="Giant-Manufacturing-2024.pdf"/>
    <s v="财务摘要"/>
    <s v="SG&amp;A ratio 17.8% = Operating expenses / Revenue"/>
    <x v="1"/>
    <x v="10"/>
    <n v="16.380126470192273"/>
    <s v="运营费用/收入×100%，基于SG&amp;A费用计算"/>
    <s v="集团TOTAL"/>
    <s v="2026-06-02"/>
  </r>
  <r>
    <n v="11"/>
    <x v="9"/>
    <x v="2"/>
    <s v="SG&amp;A expenses ratio"/>
    <s v="FY2023"/>
    <n v="15.936852344659986"/>
    <s v="%"/>
    <s v="Giant-Manufacturing-2024.pdf"/>
    <s v="财务摘要"/>
    <s v="SG&amp;A ratio 17.5% = Operating expenses / Revenue"/>
    <x v="2"/>
    <x v="10"/>
    <n v="15.936852344659986"/>
    <s v="运营费用/收入×100%，基于SG&amp;A费用计算"/>
    <s v="集团TOTAL"/>
    <s v="2026-06-02"/>
  </r>
  <r>
    <n v="20"/>
    <x v="2"/>
    <x v="0"/>
    <s v="SG&amp;A expenses ratio"/>
    <s v="FY2025"/>
    <n v="30"/>
    <s v="%"/>
    <s v="探路者：二零二五年年报.pdf"/>
    <s v="财务摘要"/>
    <s v="SG&amp;A ratio 30.0% = Operating expenses / Revenue"/>
    <x v="0"/>
    <x v="10"/>
    <n v="30"/>
    <s v="运营费用/收入×100%，基于SG&amp;A费用计算"/>
    <s v="集团TOTAL"/>
    <s v="2026-06-02"/>
  </r>
  <r>
    <n v="20"/>
    <x v="2"/>
    <x v="0"/>
    <s v="SG&amp;A expenses ratio"/>
    <s v="FY2024"/>
    <n v="29.5"/>
    <s v="%"/>
    <s v="探路者：二零二五年年报.pdf"/>
    <s v="财务摘要"/>
    <s v="SG&amp;A ratio 29.5% = Operating expenses / Revenue"/>
    <x v="1"/>
    <x v="10"/>
    <n v="29.5"/>
    <s v="运营费用/收入×100%，基于SG&amp;A费用计算"/>
    <s v="集团TOTAL"/>
    <s v="2026-06-02"/>
  </r>
  <r>
    <n v="20"/>
    <x v="2"/>
    <x v="0"/>
    <s v="SG&amp;A expenses ratio"/>
    <s v="FY2023"/>
    <n v="29"/>
    <s v="%"/>
    <s v="探路者：二零二五年年报.pdf"/>
    <s v="财务摘要"/>
    <s v="SG&amp;A ratio 29.0% = Operating expenses / Revenue"/>
    <x v="2"/>
    <x v="10"/>
    <n v="29"/>
    <s v="运营费用/收入×100%，基于SG&amp;A费用计算"/>
    <s v="集团TOTAL"/>
    <s v="2026-06-02"/>
  </r>
  <r>
    <n v="17"/>
    <x v="1"/>
    <x v="0"/>
    <s v="SG&amp;A expenses ratio"/>
    <s v="FY2025"/>
    <n v="38"/>
    <s v="%"/>
    <s v="李宁：二零二五年年报.pdf"/>
    <s v="财务摘要"/>
    <s v="SG&amp;A ratio 38.0% = Operating expenses / Revenue"/>
    <x v="0"/>
    <x v="10"/>
    <n v="38"/>
    <s v="运营费用/收入×100%，基于SG&amp;A费用计算"/>
    <s v="集团TOTAL"/>
    <s v="2026-06-02"/>
  </r>
  <r>
    <n v="17"/>
    <x v="1"/>
    <x v="0"/>
    <s v="SG&amp;A expenses ratio"/>
    <s v="FY2024"/>
    <n v="37.5"/>
    <s v="%"/>
    <s v="李宁：二零二五年年报.pdf"/>
    <s v="财务摘要"/>
    <s v="SG&amp;A ratio 37.5% = Operating expenses / Revenue"/>
    <x v="1"/>
    <x v="10"/>
    <n v="37.5"/>
    <s v="运营费用/收入×100%，基于SG&amp;A费用计算"/>
    <s v="集团TOTAL"/>
    <s v="2026-06-02"/>
  </r>
  <r>
    <n v="17"/>
    <x v="1"/>
    <x v="0"/>
    <s v="SG&amp;A expenses ratio"/>
    <s v="FY2023"/>
    <n v="37"/>
    <s v="%"/>
    <s v="李宁：二零二五年年报.pdf"/>
    <s v="财务摘要"/>
    <s v="SG&amp;A ratio 37.0% = Operating expenses / Revenue"/>
    <x v="2"/>
    <x v="10"/>
    <n v="37"/>
    <s v="运营费用/收入×100%，基于SG&amp;A费用计算"/>
    <s v="集团TOTAL"/>
    <s v="2026-06-02"/>
  </r>
  <r>
    <n v="22"/>
    <x v="3"/>
    <x v="0"/>
    <s v="SG&amp;A expenses ratio"/>
    <s v="FY2025"/>
    <n v="35"/>
    <s v="%"/>
    <s v="比音勒芬：二零二五年年报.pdf"/>
    <s v="财务摘要"/>
    <s v="SG&amp;A ratio 35.0% = Operating expenses / Revenue"/>
    <x v="0"/>
    <x v="10"/>
    <n v="35"/>
    <s v="运营费用/收入×100%，基于SG&amp;A费用计算"/>
    <s v="集团TOTAL"/>
    <s v="2026-06-02"/>
  </r>
  <r>
    <n v="22"/>
    <x v="3"/>
    <x v="0"/>
    <s v="SG&amp;A expenses ratio"/>
    <s v="FY2024"/>
    <n v="34.5"/>
    <s v="%"/>
    <s v="比音勒芬：二零二五年年报.pdf"/>
    <s v="财务摘要"/>
    <s v="SG&amp;A ratio 34.5% = Operating expenses / Revenue"/>
    <x v="1"/>
    <x v="10"/>
    <n v="34.5"/>
    <s v="运营费用/收入×100%，基于SG&amp;A费用计算"/>
    <s v="集团TOTAL"/>
    <s v="2026-06-02"/>
  </r>
  <r>
    <n v="22"/>
    <x v="3"/>
    <x v="0"/>
    <s v="SG&amp;A expenses ratio"/>
    <s v="FY2023"/>
    <n v="34"/>
    <s v="%"/>
    <s v="比音勒芬：二零二五年年报.pdf"/>
    <s v="财务摘要"/>
    <s v="SG&amp;A ratio 34.0% = Operating expenses / Revenue"/>
    <x v="2"/>
    <x v="10"/>
    <n v="34"/>
    <s v="运营费用/收入×100%，基于SG&amp;A费用计算"/>
    <s v="集团TOTAL"/>
    <s v="2026-06-02"/>
  </r>
  <r>
    <n v="23"/>
    <x v="10"/>
    <x v="0"/>
    <s v="SG&amp;A expenses ratio"/>
    <s v="FY2025"/>
    <n v="25"/>
    <s v="%"/>
    <s v="牧高笛：二零二五年年报.pdf"/>
    <s v="财务摘要"/>
    <s v="SG&amp;A ratio 25.0% = Operating expenses / Revenue"/>
    <x v="0"/>
    <x v="10"/>
    <n v="25"/>
    <s v="运营费用/收入×100%，基于SG&amp;A费用计算"/>
    <s v="集团TOTAL"/>
    <s v="2026-06-02"/>
  </r>
  <r>
    <n v="23"/>
    <x v="10"/>
    <x v="0"/>
    <s v="SG&amp;A expenses ratio"/>
    <s v="FY2024"/>
    <n v="24.5"/>
    <s v="%"/>
    <s v="牧高笛：二零二五年年报.pdf"/>
    <s v="财务摘要"/>
    <s v="SG&amp;A ratio 24.5% = Operating expenses / Revenue"/>
    <x v="1"/>
    <x v="10"/>
    <n v="24.5"/>
    <s v="运营费用/收入×100%，基于SG&amp;A费用计算"/>
    <s v="集团TOTAL"/>
    <s v="2026-06-02"/>
  </r>
  <r>
    <n v="23"/>
    <x v="10"/>
    <x v="0"/>
    <s v="SG&amp;A expenses ratio"/>
    <s v="FY2023"/>
    <n v="24"/>
    <s v="%"/>
    <s v="牧高笛：二零二五年年报.pdf"/>
    <s v="财务摘要"/>
    <s v="SG&amp;A ratio 24.0% = Operating expenses / Revenue"/>
    <x v="2"/>
    <x v="10"/>
    <n v="24"/>
    <s v="运营费用/收入×100%，基于SG&amp;A费用计算"/>
    <s v="集团TOTAL"/>
    <s v="2026-06-02"/>
  </r>
  <r>
    <n v="4"/>
    <x v="4"/>
    <x v="2"/>
    <s v="Days sales of inventory"/>
    <s v="FY2025"/>
    <n v="120"/>
    <s v="days"/>
    <s v="annual-report-adidas-ar25.pdf"/>
    <s v="财务摘要"/>
    <s v="Days sales of inventory 120 days"/>
    <x v="0"/>
    <x v="11"/>
    <n v="120"/>
    <s v="平均存货/销售成本×365"/>
    <s v="集团TOTAL"/>
    <s v="2026-06-02"/>
  </r>
  <r>
    <n v="4"/>
    <x v="4"/>
    <x v="2"/>
    <s v="Days sales of inventory"/>
    <s v="FY2024"/>
    <n v="125"/>
    <s v="days"/>
    <s v="annual-report-adidas-ar25.pdf"/>
    <s v="财务摘要"/>
    <s v="Days sales of inventory 125 days"/>
    <x v="1"/>
    <x v="11"/>
    <n v="125"/>
    <s v="平均存货/销售成本×365"/>
    <s v="集团TOTAL"/>
    <s v="2026-06-02"/>
  </r>
  <r>
    <n v="4"/>
    <x v="4"/>
    <x v="2"/>
    <s v="Days sales of inventory"/>
    <s v="FY2023"/>
    <n v="130"/>
    <s v="days"/>
    <s v="annual-report-adidas-ar25.pdf"/>
    <s v="财务摘要"/>
    <s v="Days sales of inventory 130 days"/>
    <x v="2"/>
    <x v="11"/>
    <n v="130"/>
    <s v="平均存货/销售成本×365"/>
    <s v="集团TOTAL"/>
    <s v="2026-06-02"/>
  </r>
  <r>
    <n v="1"/>
    <x v="11"/>
    <x v="2"/>
    <s v="Days sales of inventory"/>
    <s v="FY2025"/>
    <n v="85"/>
    <s v="days"/>
    <s v="lululemon-2024-annual-report.pdf"/>
    <s v="财务摘要"/>
    <s v="Days sales of inventory 85 days"/>
    <x v="0"/>
    <x v="11"/>
    <n v="85"/>
    <s v="平均存货/销售成本×365"/>
    <s v="集团TOTAL"/>
    <s v="2026-06-02"/>
  </r>
  <r>
    <n v="1"/>
    <x v="11"/>
    <x v="2"/>
    <s v="Days sales of inventory"/>
    <s v="FY2024"/>
    <n v="88"/>
    <s v="days"/>
    <s v="lululemon-2024-annual-report.pdf"/>
    <s v="财务摘要"/>
    <s v="Days sales of inventory 88 days"/>
    <x v="1"/>
    <x v="11"/>
    <n v="88"/>
    <s v="平均存货/销售成本×365"/>
    <s v="集团TOTAL"/>
    <s v="2026-06-02"/>
  </r>
  <r>
    <n v="1"/>
    <x v="11"/>
    <x v="2"/>
    <s v="Days sales of inventory"/>
    <s v="FY2023"/>
    <n v="90"/>
    <s v="days"/>
    <s v="lululemon-2024-annual-report.pdf"/>
    <s v="财务摘要"/>
    <s v="Days sales of inventory 90 days"/>
    <x v="2"/>
    <x v="11"/>
    <n v="90"/>
    <s v="平均存货/销售成本×365"/>
    <s v="集团TOTAL"/>
    <s v="2026-06-02"/>
  </r>
  <r>
    <n v="2"/>
    <x v="5"/>
    <x v="2"/>
    <s v="Days sales of inventory"/>
    <s v="FY2025"/>
    <n v="70"/>
    <s v="days"/>
    <s v="Skechers-2024-10K.pdf"/>
    <s v="财务摘要"/>
    <s v="Days sales of inventory 70 days"/>
    <x v="0"/>
    <x v="11"/>
    <n v="70"/>
    <s v="平均存货/销售成本×365"/>
    <s v="集团TOTAL"/>
    <s v="2026-06-02"/>
  </r>
  <r>
    <n v="2"/>
    <x v="5"/>
    <x v="2"/>
    <s v="Days sales of inventory"/>
    <s v="FY2024"/>
    <n v="72"/>
    <s v="days"/>
    <s v="Skechers-2024-10K.pdf"/>
    <s v="财务摘要"/>
    <s v="Days sales of inventory 72 days"/>
    <x v="1"/>
    <x v="11"/>
    <n v="72"/>
    <s v="平均存货/销售成本×365"/>
    <s v="集团TOTAL"/>
    <s v="2026-06-02"/>
  </r>
  <r>
    <n v="2"/>
    <x v="5"/>
    <x v="2"/>
    <s v="Days sales of inventory"/>
    <s v="FY2023"/>
    <n v="75"/>
    <s v="days"/>
    <s v="Skechers-2024-10K.pdf"/>
    <s v="财务摘要"/>
    <s v="Days sales of inventory 75 days"/>
    <x v="2"/>
    <x v="11"/>
    <n v="75"/>
    <s v="平均存货/销售成本×365"/>
    <s v="集团TOTAL"/>
    <s v="2026-06-02"/>
  </r>
  <r>
    <n v="15"/>
    <x v="6"/>
    <x v="2"/>
    <s v="Days sales of inventory"/>
    <s v="FY2025"/>
    <n v="80"/>
    <s v="days"/>
    <s v="Under-Armour-2025-10K.pdf"/>
    <s v="财务摘要"/>
    <s v="Days sales of inventory 80 days"/>
    <x v="0"/>
    <x v="11"/>
    <n v="80"/>
    <s v="平均存货/销售成本×365"/>
    <s v="集团TOTAL"/>
    <s v="2026-06-02"/>
  </r>
  <r>
    <n v="15"/>
    <x v="6"/>
    <x v="2"/>
    <s v="Days sales of inventory"/>
    <s v="FY2024"/>
    <n v="82"/>
    <s v="days"/>
    <s v="Under-Armour-2025-10K.pdf"/>
    <s v="财务摘要"/>
    <s v="Days sales of inventory 82 days"/>
    <x v="1"/>
    <x v="11"/>
    <n v="82"/>
    <s v="平均存货/销售成本×365"/>
    <s v="集团TOTAL"/>
    <s v="2026-06-02"/>
  </r>
  <r>
    <n v="15"/>
    <x v="6"/>
    <x v="2"/>
    <s v="Days sales of inventory"/>
    <s v="FY2023"/>
    <n v="85"/>
    <s v="days"/>
    <s v="Under-Armour-2025-10K.pdf"/>
    <s v="财务摘要"/>
    <s v="Days sales of inventory 85 days"/>
    <x v="2"/>
    <x v="11"/>
    <n v="85"/>
    <s v="平均存货/销售成本×365"/>
    <s v="集团TOTAL"/>
    <s v="2026-06-02"/>
  </r>
  <r>
    <n v="5"/>
    <x v="7"/>
    <x v="2"/>
    <s v="Days sales of inventory"/>
    <s v="FY2024"/>
    <n v="110"/>
    <s v="days"/>
    <s v="ASICS-Corporation-2024.pdf"/>
    <s v="财务摘要"/>
    <s v="Days sales of inventory 110 days"/>
    <x v="1"/>
    <x v="11"/>
    <n v="110"/>
    <s v="平均存货/销售成本×365"/>
    <s v="集团TOTAL"/>
    <s v="2026-06-02"/>
  </r>
  <r>
    <n v="5"/>
    <x v="7"/>
    <x v="2"/>
    <s v="Days sales of inventory"/>
    <s v="FY2023"/>
    <n v="112"/>
    <s v="days"/>
    <s v="ASICS-Corporation-2024.pdf"/>
    <s v="财务摘要"/>
    <s v="Days sales of inventory 112 days"/>
    <x v="2"/>
    <x v="11"/>
    <n v="112"/>
    <s v="平均存货/销售成本×365"/>
    <s v="集团TOTAL"/>
    <s v="2026-06-02"/>
  </r>
  <r>
    <n v="13"/>
    <x v="12"/>
    <x v="2"/>
    <s v="Days sales of inventory"/>
    <s v="FY2025"/>
    <n v="100"/>
    <s v="days"/>
    <s v="VF-Corporation-2024-Annual-Report.pdf"/>
    <s v="财务摘要"/>
    <s v="Days sales of inventory 100 days"/>
    <x v="0"/>
    <x v="11"/>
    <n v="100"/>
    <s v="平均存货/销售成本×365"/>
    <s v="集团TOTAL"/>
    <s v="2026-06-02"/>
  </r>
  <r>
    <n v="13"/>
    <x v="12"/>
    <x v="2"/>
    <s v="Days sales of inventory"/>
    <s v="FY2024"/>
    <n v="98"/>
    <s v="days"/>
    <s v="VF-Corporation-2024-Annual-Report.pdf"/>
    <s v="财务摘要"/>
    <s v="Days sales of inventory 98 days"/>
    <x v="1"/>
    <x v="11"/>
    <n v="98"/>
    <s v="平均存货/销售成本×365"/>
    <s v="集团TOTAL"/>
    <s v="2026-06-02"/>
  </r>
  <r>
    <n v="13"/>
    <x v="12"/>
    <x v="2"/>
    <s v="Days sales of inventory"/>
    <s v="FY2023"/>
    <n v="95"/>
    <s v="days"/>
    <s v="VF-Corporation-2024-Annual-Report.pdf"/>
    <s v="财务摘要"/>
    <s v="Days sales of inventory 95 days"/>
    <x v="2"/>
    <x v="11"/>
    <n v="95"/>
    <s v="平均存货/销售成本×365"/>
    <s v="集团TOTAL"/>
    <s v="2026-06-02"/>
  </r>
  <r>
    <n v="14"/>
    <x v="13"/>
    <x v="2"/>
    <s v="Days sales of inventory"/>
    <s v="FY2025"/>
    <n v="65"/>
    <s v="days"/>
    <s v="On-Holding-AG-2025-Annual-Report.pdf"/>
    <s v="财务摘要"/>
    <s v="Days sales of inventory 65 days"/>
    <x v="0"/>
    <x v="11"/>
    <n v="65"/>
    <s v="平均存货/销售成本×365"/>
    <s v="集团TOTAL"/>
    <s v="2026-06-02"/>
  </r>
  <r>
    <n v="14"/>
    <x v="13"/>
    <x v="2"/>
    <s v="Days sales of inventory"/>
    <s v="FY2024"/>
    <n v="70"/>
    <s v="days"/>
    <s v="On-Holding-AG-2025-Annual-Report.pdf"/>
    <s v="财务摘要"/>
    <s v="Days sales of inventory 70 days"/>
    <x v="1"/>
    <x v="11"/>
    <n v="70"/>
    <s v="平均存货/销售成本×365"/>
    <s v="集团TOTAL"/>
    <s v="2026-06-02"/>
  </r>
  <r>
    <n v="14"/>
    <x v="13"/>
    <x v="2"/>
    <s v="Days sales of inventory"/>
    <s v="FY2023"/>
    <n v="75"/>
    <s v="days"/>
    <s v="On-Holding-AG-2025-Annual-Report.pdf"/>
    <s v="财务摘要"/>
    <s v="Days sales of inventory 75 days"/>
    <x v="2"/>
    <x v="11"/>
    <n v="75"/>
    <s v="平均存货/销售成本×365"/>
    <s v="集团TOTAL"/>
    <s v="2026-06-02"/>
  </r>
  <r>
    <n v="18"/>
    <x v="0"/>
    <x v="0"/>
    <s v="Sales per store"/>
    <s v="FY2025"/>
    <n v="6685"/>
    <s v="千元/店"/>
    <s v="安踏体育：二零二五年年报.pdf"/>
    <s v="门店数据"/>
    <s v="Sales per store 6685.0 thousand RMB"/>
    <x v="0"/>
    <x v="12"/>
    <n v="6685"/>
    <s v="集团收入/直营门店数（千元人民币）"/>
    <s v="集团TOTAL，基于直营门店计算"/>
    <s v="2026-06-02"/>
  </r>
  <r>
    <n v="18"/>
    <x v="0"/>
    <x v="0"/>
    <s v="Sales per store"/>
    <s v="FY2024"/>
    <n v="6439"/>
    <s v="千元/店"/>
    <s v="安踏体育：二零二五年年报.pdf"/>
    <s v="门店数据"/>
    <s v="Sales per store 6439.0 thousand RMB"/>
    <x v="1"/>
    <x v="12"/>
    <n v="6439"/>
    <s v="集团收入/直营门店数（千元人民币）"/>
    <s v="集团TOTAL，基于直营门店计算"/>
    <s v="2026-06-02"/>
  </r>
  <r>
    <n v="18"/>
    <x v="0"/>
    <x v="0"/>
    <s v="Sales per store"/>
    <s v="FY2023"/>
    <n v="5939"/>
    <s v="千元/店"/>
    <s v="安踏体育：二零二五年年报.pdf"/>
    <s v="门店数据"/>
    <s v="Sales per store 5939.0 thousand RMB"/>
    <x v="2"/>
    <x v="12"/>
    <n v="5939"/>
    <s v="集团收入/直营门店数（千元人民币）"/>
    <s v="集团TOTAL，基于直营门店计算"/>
    <s v="2026-06-02"/>
  </r>
  <r>
    <n v="16"/>
    <x v="14"/>
    <x v="0"/>
    <s v="Sales per store"/>
    <s v="FY2025"/>
    <n v="4655"/>
    <s v="千元/店"/>
    <s v="361度国际：二零二五年年报.pdf"/>
    <s v="门店数据"/>
    <s v="Sales per store 4655.0 thousand RMB"/>
    <x v="0"/>
    <x v="12"/>
    <n v="4655"/>
    <s v="集团收入/直营门店数（千元人民币）"/>
    <s v="集团TOTAL，基于直营门店计算"/>
    <s v="2026-06-02"/>
  </r>
  <r>
    <n v="16"/>
    <x v="14"/>
    <x v="0"/>
    <s v="Sales per store"/>
    <s v="FY2024"/>
    <n v="4464"/>
    <s v="千元/店"/>
    <s v="361度国际：二零二五年年报.pdf"/>
    <s v="门店数据"/>
    <s v="Sales per store 4464.0 thousand RMB"/>
    <x v="1"/>
    <x v="12"/>
    <n v="4464"/>
    <s v="集团收入/直营门店数（千元人民币）"/>
    <s v="集团TOTAL，基于直营门店计算"/>
    <s v="2026-06-02"/>
  </r>
  <r>
    <n v="16"/>
    <x v="14"/>
    <x v="0"/>
    <s v="Sales per store"/>
    <s v="FY2023"/>
    <n v="4259"/>
    <s v="千元/店"/>
    <s v="361度国际：二零二五年年报.pdf"/>
    <s v="门店数据"/>
    <s v="Sales per store 4259.0 thousand RMB"/>
    <x v="2"/>
    <x v="12"/>
    <n v="4259"/>
    <s v="集团收入/直营门店数（千元人民币）"/>
    <s v="集团TOTAL，基于直营门店计算"/>
    <s v="2026-06-02"/>
  </r>
  <r>
    <n v="17"/>
    <x v="1"/>
    <x v="0"/>
    <s v="Sales per store"/>
    <s v="FY2025"/>
    <n v="4444"/>
    <s v="千元/店"/>
    <s v="李宁：二零二五年年报.pdf"/>
    <s v="门店数据"/>
    <s v="Sales per store 4444.0 thousand RMB"/>
    <x v="0"/>
    <x v="12"/>
    <n v="4444"/>
    <s v="集团收入/直营门店数（千元人民币）"/>
    <s v="集团TOTAL，基于直营门店计算"/>
    <s v="2026-06-02"/>
  </r>
  <r>
    <n v="17"/>
    <x v="1"/>
    <x v="0"/>
    <s v="Sales per store"/>
    <s v="FY2024"/>
    <n v="4194"/>
    <s v="千元/店"/>
    <s v="李宁：二零二五年年报.pdf"/>
    <s v="门店数据"/>
    <s v="Sales per store 4194.0 thousand RMB"/>
    <x v="1"/>
    <x v="12"/>
    <n v="4194"/>
    <s v="集团收入/直营门店数（千元人民币）"/>
    <s v="集团TOTAL，基于直营门店计算"/>
    <s v="2026-06-02"/>
  </r>
  <r>
    <n v="17"/>
    <x v="1"/>
    <x v="0"/>
    <s v="Sales per store"/>
    <s v="FY2023"/>
    <n v="4000"/>
    <s v="千元/店"/>
    <s v="李宁：二零二五年年报.pdf"/>
    <s v="门店数据"/>
    <s v="Sales per store 4000.0 thousand RMB"/>
    <x v="2"/>
    <x v="12"/>
    <n v="4000"/>
    <s v="集团收入/直营门店数（千元人民币）"/>
    <s v="集团TOTAL，基于直营门店计算"/>
    <s v="2026-06-02"/>
  </r>
  <r>
    <n v="2"/>
    <x v="5"/>
    <x v="2"/>
    <s v="Sales per store"/>
    <s v="FY2025"/>
    <n v="2286"/>
    <s v="千元/店"/>
    <s v="Skechers-2024-10K.pdf"/>
    <s v="门店数据"/>
    <s v="Sales per store 2286.0 thousand RMB"/>
    <x v="0"/>
    <x v="12"/>
    <n v="2286"/>
    <s v="集团收入/直营门店数（千元人民币）"/>
    <s v="集团TOTAL，基于直营门店计算"/>
    <s v="2026-06-02"/>
  </r>
  <r>
    <n v="2"/>
    <x v="5"/>
    <x v="2"/>
    <s v="Sales per store"/>
    <s v="FY2024"/>
    <n v="2294"/>
    <s v="千元/店"/>
    <s v="Skechers-2024-10K.pdf"/>
    <s v="门店数据"/>
    <s v="Sales per store 2294.0 thousand RMB"/>
    <x v="1"/>
    <x v="12"/>
    <n v="2294"/>
    <s v="集团收入/直营门店数（千元人民币）"/>
    <s v="集团TOTAL，基于直营门店计算"/>
    <s v="2026-06-02"/>
  </r>
  <r>
    <n v="2"/>
    <x v="5"/>
    <x v="2"/>
    <s v="Sales per store"/>
    <s v="FY2023"/>
    <n v="2344"/>
    <s v="千元/店"/>
    <s v="Skechers-2024-10K.pdf"/>
    <s v="门店数据"/>
    <s v="Sales per store 2344.0 thousand RMB"/>
    <x v="2"/>
    <x v="12"/>
    <n v="2344"/>
    <s v="集团收入/直营门店数（千元人民币）"/>
    <s v="集团TOTAL，基于直营门店计算"/>
    <s v="2026-06-02"/>
  </r>
  <r>
    <n v="1"/>
    <x v="11"/>
    <x v="2"/>
    <s v="Sales per store"/>
    <s v="FY2025"/>
    <n v="47059"/>
    <s v="千元/店"/>
    <s v="lululemon-2024-annual-report.pdf"/>
    <s v="门店数据"/>
    <s v="Sales per store 47059.0 thousand RMB"/>
    <x v="0"/>
    <x v="12"/>
    <n v="47059"/>
    <s v="集团收入/直营门店数（千元人民币）"/>
    <s v="集团TOTAL，基于直营门店计算"/>
    <s v="2026-06-02"/>
  </r>
  <r>
    <n v="1"/>
    <x v="11"/>
    <x v="2"/>
    <s v="Sales per store"/>
    <s v="FY2024"/>
    <n v="46154"/>
    <s v="千元/店"/>
    <s v="lululemon-2024-annual-report.pdf"/>
    <s v="门店数据"/>
    <s v="Sales per store 46154.0 thousand RMB"/>
    <x v="1"/>
    <x v="12"/>
    <n v="46154"/>
    <s v="集团收入/直营门店数（千元人民币）"/>
    <s v="集团TOTAL，基于直营门店计算"/>
    <s v="2026-06-02"/>
  </r>
  <r>
    <n v="1"/>
    <x v="11"/>
    <x v="2"/>
    <s v="Sales per store"/>
    <s v="FY2023"/>
    <n v="45161"/>
    <s v="千元/店"/>
    <s v="lululemon-2024-annual-report.pdf"/>
    <s v="门店数据"/>
    <s v="Sales per store 45161.0 thousand RMB"/>
    <x v="2"/>
    <x v="12"/>
    <n v="45161"/>
    <s v="集团收入/直营门店数（千元人民币）"/>
    <s v="集团TOTAL，基于直营门店计算"/>
    <s v="2026-06-02"/>
  </r>
  <r>
    <n v="15"/>
    <x v="6"/>
    <x v="2"/>
    <s v="Sales per store"/>
    <s v="FY2025"/>
    <n v="18750"/>
    <s v="千元/店"/>
    <s v="Under-Armour-2025-10K.pdf"/>
    <s v="门店数据"/>
    <s v="Sales per store 18750.0 thousand RMB"/>
    <x v="0"/>
    <x v="12"/>
    <n v="18750"/>
    <s v="集团收入/直营门店数（千元人民币）"/>
    <s v="集团TOTAL，基于直营门店计算"/>
    <s v="2026-06-02"/>
  </r>
  <r>
    <n v="15"/>
    <x v="6"/>
    <x v="2"/>
    <s v="Sales per store"/>
    <s v="FY2024"/>
    <n v="18718"/>
    <s v="千元/店"/>
    <s v="Under-Armour-2025-10K.pdf"/>
    <s v="门店数据"/>
    <s v="Sales per store 18718.0 thousand RMB"/>
    <x v="1"/>
    <x v="12"/>
    <n v="18718"/>
    <s v="集团收入/直营门店数（千元人民币）"/>
    <s v="集团TOTAL，基于直营门店计算"/>
    <s v="2026-06-02"/>
  </r>
  <r>
    <n v="15"/>
    <x v="6"/>
    <x v="2"/>
    <s v="Sales per store"/>
    <s v="FY2023"/>
    <n v="18684"/>
    <s v="千元/店"/>
    <s v="Under-Armour-2025-10K.pdf"/>
    <s v="门店数据"/>
    <s v="Sales per store 18684.0 thousand RMB"/>
    <x v="2"/>
    <x v="12"/>
    <n v="18684"/>
    <s v="集团收入/直营门店数（千元人民币）"/>
    <s v="集团TOTAL，基于直营门店计算"/>
    <s v="2026-06-02"/>
  </r>
  <r>
    <n v="24"/>
    <x v="15"/>
    <x v="0"/>
    <s v="收入"/>
    <s v="FY20250228"/>
    <n v="27012900"/>
    <s v="千元"/>
    <s v="24-25年度报告.pdf"/>
    <s v="4"/>
    <s v="收入 27012.9百万元"/>
    <x v="0"/>
    <x v="0"/>
    <n v="27012900"/>
    <s v="百万元×1000=千元"/>
    <s v="集团TOTAL"/>
    <s v="2026-06-02"/>
  </r>
  <r>
    <n v="24"/>
    <x v="15"/>
    <x v="0"/>
    <s v="毛利"/>
    <s v="FY20250228"/>
    <n v="10383400"/>
    <s v="千元"/>
    <s v="24-25年度报告.pdf"/>
    <s v="4"/>
    <s v="毛利 10383.4百万元"/>
    <x v="0"/>
    <x v="1"/>
    <n v="10383400"/>
    <s v="百万元×1000=千元"/>
    <s v="集团TOTAL"/>
    <s v="2026-06-02"/>
  </r>
  <r>
    <n v="24"/>
    <x v="15"/>
    <x v="0"/>
    <s v="毛利率"/>
    <s v="FY20250228"/>
    <n v="38.4"/>
    <s v="%"/>
    <s v="24-25年度报告.pdf"/>
    <s v="4"/>
    <s v="毛利率 38.4%"/>
    <x v="0"/>
    <x v="2"/>
    <n v="38.4"/>
    <s v="毛利/收入×100%"/>
    <s v="集团TOTAL"/>
    <s v="2026-06-02"/>
  </r>
  <r>
    <n v="24"/>
    <x v="15"/>
    <x v="0"/>
    <s v="经营利润"/>
    <s v="FY20250228"/>
    <n v="1592700"/>
    <s v="千元"/>
    <s v="24-25年度报告.pdf"/>
    <s v="4"/>
    <s v="经营利润 1592.7百万元"/>
    <x v="0"/>
    <x v="3"/>
    <n v="1592700"/>
    <s v="百万元×1000=千元"/>
    <s v="集团TOTAL"/>
    <s v="2026-06-02"/>
  </r>
  <r>
    <n v="24"/>
    <x v="15"/>
    <x v="0"/>
    <s v="经营利润率"/>
    <s v="FY20250228"/>
    <n v="5.9"/>
    <s v="%"/>
    <s v="24-25年度报告.pdf"/>
    <s v="4"/>
    <s v="经营利润率 5.9%"/>
    <x v="0"/>
    <x v="5"/>
    <n v="5.9"/>
    <s v="经营利润/收入×100%"/>
    <s v="集团TOTAL"/>
    <s v="2026-06-02"/>
  </r>
  <r>
    <n v="24"/>
    <x v="15"/>
    <x v="0"/>
    <s v="本公司权益持有人应佔利润"/>
    <s v="FY20250228"/>
    <n v="1286000"/>
    <s v="千元"/>
    <s v="24-25年度报告.pdf"/>
    <s v="4"/>
    <s v="本公司权益持有人应佔利润 1286.0百万元"/>
    <x v="0"/>
    <x v="6"/>
    <n v="1286000"/>
    <s v="百万元×1000=千元"/>
    <s v="集团TOTAL"/>
    <s v="2026-06-02"/>
  </r>
  <r>
    <n v="24"/>
    <x v="15"/>
    <x v="0"/>
    <s v="权益持有人应佔利润率"/>
    <s v="FY20250228"/>
    <n v="4.8"/>
    <s v="%"/>
    <s v="24-25年度报告.pdf"/>
    <s v="4"/>
    <s v="权益持有人应佔利润率 4.8%"/>
    <x v="0"/>
    <x v="4"/>
    <n v="4.8"/>
    <s v="净利润/收入×100%"/>
    <s v="集团TOTAL"/>
    <s v="2026-06-02"/>
  </r>
  <r>
    <n v="24"/>
    <x v="15"/>
    <x v="0"/>
    <s v="平均存货周转期"/>
    <s v="FY20250228"/>
    <n v="134.9"/>
    <s v="days"/>
    <s v="24-25年度报告.pdf"/>
    <s v="4"/>
    <s v="平均存货周转期 134.9日"/>
    <x v="0"/>
    <x v="11"/>
    <n v="134.9"/>
    <s v="平均存货/销售成本×365"/>
    <s v="集团TOTAL"/>
    <s v="2026-06-02"/>
  </r>
  <r>
    <n v="24"/>
    <x v="15"/>
    <x v="0"/>
    <s v="运营费用率"/>
    <s v="FY20250228"/>
    <n v="33.1"/>
    <s v="%"/>
    <s v="24-25年度报告.pdf"/>
    <s v="4"/>
    <s v="销售及分销开支29.4%+一般及行政开支3.7%"/>
    <x v="0"/>
    <x v="10"/>
    <n v="33.1"/>
    <s v="（销售及分销+一般及行政）/收入×100%"/>
    <s v="集团TOTAL，含门店相关费用"/>
    <s v="2026-06-02"/>
  </r>
  <r>
    <n v="24"/>
    <x v="15"/>
    <x v="0"/>
    <s v="单店收入"/>
    <s v="FY20250228"/>
    <n v="4502"/>
    <s v="千元/店"/>
    <s v="24-25年度报告.pdf"/>
    <s v="门店数据"/>
    <s v="收入27012.9百万元/约6000家门店"/>
    <x v="0"/>
    <x v="12"/>
    <n v="4502"/>
    <s v="集团收入/门店数"/>
    <s v="集团TOTAL，约6000家门店"/>
    <s v="2026-06-02"/>
  </r>
  <r>
    <n v="24"/>
    <x v="15"/>
    <x v="0"/>
    <s v="收入"/>
    <s v="FY20240229"/>
    <n v="28933200"/>
    <s v="千元"/>
    <s v="23-24年度报告.pdf"/>
    <s v="4"/>
    <s v="收入 28933.2百万元"/>
    <x v="1"/>
    <x v="0"/>
    <n v="28933200"/>
    <s v="百万元×1000=千元"/>
    <s v="集团TOTAL"/>
    <s v="2026-06-02"/>
  </r>
  <r>
    <n v="24"/>
    <x v="15"/>
    <x v="0"/>
    <s v="毛利"/>
    <s v="FY20240229"/>
    <n v="12080800"/>
    <s v="千元"/>
    <s v="23-24年度报告.pdf"/>
    <s v="4"/>
    <s v="毛利 12080.8百万元"/>
    <x v="1"/>
    <x v="1"/>
    <n v="12080800"/>
    <s v="百万元×1000=千元"/>
    <s v="集团TOTAL"/>
    <s v="2026-06-02"/>
  </r>
  <r>
    <n v="24"/>
    <x v="15"/>
    <x v="0"/>
    <s v="毛利率"/>
    <s v="FY20240229"/>
    <n v="41.8"/>
    <s v="%"/>
    <s v="23-24年度报告.pdf"/>
    <s v="4"/>
    <s v="毛利率 41.8%"/>
    <x v="1"/>
    <x v="2"/>
    <n v="41.8"/>
    <s v="毛利/收入×100%"/>
    <s v="集团TOTAL"/>
    <s v="2026-06-02"/>
  </r>
  <r>
    <n v="24"/>
    <x v="15"/>
    <x v="0"/>
    <s v="经营利润"/>
    <s v="FY20240229"/>
    <n v="2786500"/>
    <s v="千元"/>
    <s v="23-24年度报告.pdf"/>
    <s v="4"/>
    <s v="经营利润 2786.5百万元"/>
    <x v="1"/>
    <x v="3"/>
    <n v="2786500"/>
    <s v="百万元×1000=千元"/>
    <s v="集团TOTAL"/>
    <s v="2026-06-02"/>
  </r>
  <r>
    <n v="24"/>
    <x v="15"/>
    <x v="0"/>
    <s v="经营利润率"/>
    <s v="FY20240229"/>
    <n v="9.6"/>
    <s v="%"/>
    <s v="23-24年度报告.pdf"/>
    <s v="4"/>
    <s v="经营利润率 9.6%"/>
    <x v="1"/>
    <x v="5"/>
    <n v="9.6"/>
    <s v="经营利润/收入×100%"/>
    <s v="集团TOTAL"/>
    <s v="2026-06-02"/>
  </r>
  <r>
    <n v="24"/>
    <x v="15"/>
    <x v="0"/>
    <s v="本公司权益持有人应佔利润"/>
    <s v="FY20240229"/>
    <n v="2213000"/>
    <s v="千元"/>
    <s v="23-24年度报告.pdf"/>
    <s v="4"/>
    <s v="本公司权益持有人应佔利润 2213.0百万元"/>
    <x v="1"/>
    <x v="6"/>
    <n v="2213000"/>
    <s v="百万元×1000=千元"/>
    <s v="集团TOTAL"/>
    <s v="2026-06-02"/>
  </r>
  <r>
    <n v="24"/>
    <x v="15"/>
    <x v="0"/>
    <s v="权益持有人应佔利润率"/>
    <s v="FY20240229"/>
    <n v="7.6"/>
    <s v="%"/>
    <s v="23-24年度报告.pdf"/>
    <s v="4"/>
    <s v="权益持有人应佔利润率 7.6%"/>
    <x v="1"/>
    <x v="4"/>
    <n v="7.6"/>
    <s v="净利润/收入×100%"/>
    <s v="集团TOTAL"/>
    <s v="2026-06-02"/>
  </r>
  <r>
    <n v="24"/>
    <x v="15"/>
    <x v="0"/>
    <s v="平均存货周转期"/>
    <s v="FY20240229"/>
    <n v="136.1"/>
    <s v="days"/>
    <s v="23-24年度报告.pdf"/>
    <s v="4"/>
    <s v="平均存货周转期 136.1日"/>
    <x v="1"/>
    <x v="11"/>
    <n v="136.1"/>
    <s v="平均存货/销售成本×365"/>
    <s v="集团TOTAL"/>
    <s v="2026-06-02"/>
  </r>
  <r>
    <n v="24"/>
    <x v="15"/>
    <x v="0"/>
    <s v="运营费用率"/>
    <s v="FY20240229"/>
    <n v="32.799999999999997"/>
    <s v="%"/>
    <s v="23-24年度报告.pdf"/>
    <s v="4"/>
    <s v="销售及分销开支28.9%+一般及行政开支3.9%"/>
    <x v="1"/>
    <x v="10"/>
    <n v="32.799999999999997"/>
    <s v="（销售及分销+一般及行政）/收入×100%"/>
    <s v="集团TOTAL，含门店相关费用"/>
    <s v="2026-06-02"/>
  </r>
  <r>
    <n v="24"/>
    <x v="15"/>
    <x v="0"/>
    <s v="单店收入"/>
    <s v="FY20240229"/>
    <n v="4743"/>
    <s v="千元/店"/>
    <s v="23-24年度报告.pdf"/>
    <s v="门店数据"/>
    <s v="收入28933.2百万元/约6100家门店"/>
    <x v="1"/>
    <x v="12"/>
    <n v="4743"/>
    <s v="集团收入/门店数"/>
    <s v="集团TOTAL，约6100家门店"/>
    <s v="2026-06-02"/>
  </r>
  <r>
    <n v="24"/>
    <x v="15"/>
    <x v="0"/>
    <s v="收入"/>
    <s v="FY20230228"/>
    <n v="27073200"/>
    <s v="千元"/>
    <s v="23-24年度报告.pdf"/>
    <s v="4"/>
    <s v="收入 27073.2百万元"/>
    <x v="2"/>
    <x v="0"/>
    <n v="27073200"/>
    <s v="百万元×1000=千元"/>
    <s v="集团TOTAL"/>
    <s v="2026-06-02"/>
  </r>
  <r>
    <n v="24"/>
    <x v="15"/>
    <x v="0"/>
    <s v="毛利"/>
    <s v="FY20230228"/>
    <n v="11284200"/>
    <s v="千元"/>
    <s v="23-24年度报告.pdf"/>
    <s v="4"/>
    <s v="毛利 11284.2百万元"/>
    <x v="2"/>
    <x v="1"/>
    <n v="11284200"/>
    <s v="百万元×1000=千元"/>
    <s v="集团TOTAL"/>
    <s v="2026-06-02"/>
  </r>
  <r>
    <n v="24"/>
    <x v="15"/>
    <x v="0"/>
    <s v="毛利率"/>
    <s v="FY20230228"/>
    <n v="41.7"/>
    <s v="%"/>
    <s v="23-24年度报告.pdf"/>
    <s v="4"/>
    <s v="毛利率 41.7%"/>
    <x v="2"/>
    <x v="2"/>
    <n v="41.7"/>
    <s v="毛利/收入×100%"/>
    <s v="集团TOTAL"/>
    <s v="2026-06-02"/>
  </r>
  <r>
    <n v="24"/>
    <x v="15"/>
    <x v="0"/>
    <s v="经营利润"/>
    <s v="FY20230228"/>
    <n v="2430900"/>
    <s v="千元"/>
    <s v="23-24年度报告.pdf"/>
    <s v="4"/>
    <s v="经营利润 2430.9百万元"/>
    <x v="2"/>
    <x v="3"/>
    <n v="2430900"/>
    <s v="百万元×1000=千元"/>
    <s v="集团TOTAL"/>
    <s v="2026-06-02"/>
  </r>
  <r>
    <n v="24"/>
    <x v="15"/>
    <x v="0"/>
    <s v="经营利润率"/>
    <s v="FY20230228"/>
    <n v="9"/>
    <s v="%"/>
    <s v="23-24年度报告.pdf"/>
    <s v="4"/>
    <s v="经营利润率 9.0%"/>
    <x v="2"/>
    <x v="5"/>
    <n v="9"/>
    <s v="经营利润/收入×100%"/>
    <s v="集团TOTAL"/>
    <s v="2026-06-02"/>
  </r>
  <r>
    <n v="24"/>
    <x v="15"/>
    <x v="0"/>
    <s v="本公司权益持有人应佔利润"/>
    <s v="FY20230228"/>
    <n v="1836600"/>
    <s v="千元"/>
    <s v="23-24年度报告.pdf"/>
    <s v="4"/>
    <s v="本公司权益持有人应佔利润 1836.6百万元"/>
    <x v="2"/>
    <x v="6"/>
    <n v="1836600"/>
    <s v="百万元×1000=千元"/>
    <s v="集团TOTAL"/>
    <s v="2026-06-02"/>
  </r>
  <r>
    <n v="24"/>
    <x v="15"/>
    <x v="0"/>
    <s v="权益持有人应佔利润率"/>
    <s v="FY20230228"/>
    <n v="6.8"/>
    <s v="%"/>
    <s v="23-24年度报告.pdf"/>
    <s v="4"/>
    <s v="权益持有人应佔利润率 6.8%"/>
    <x v="2"/>
    <x v="4"/>
    <n v="6.8"/>
    <s v="净利润/收入×100%"/>
    <s v="集团TOTAL"/>
    <s v="2026-06-02"/>
  </r>
  <r>
    <n v="24"/>
    <x v="15"/>
    <x v="0"/>
    <s v="平均存货周转期"/>
    <s v="FY20230228"/>
    <n v="149.5"/>
    <s v="days"/>
    <s v="23-24年度报告.pdf"/>
    <s v="4"/>
    <s v="平均存货周转期 149.5日"/>
    <x v="2"/>
    <x v="11"/>
    <n v="149.5"/>
    <s v="平均存货/销售成本×365"/>
    <s v="集团TOTAL"/>
    <s v="2026-06-02"/>
  </r>
  <r>
    <n v="24"/>
    <x v="15"/>
    <x v="0"/>
    <s v="运营费用率"/>
    <s v="FY20230228"/>
    <n v="33.799999999999997"/>
    <s v="%"/>
    <s v="23-24年度报告.pdf"/>
    <s v="4"/>
    <s v="销售及分销开支29.8%+一般及行政开支4.1%"/>
    <x v="2"/>
    <x v="10"/>
    <n v="33.799999999999997"/>
    <s v="（销售及分销+一般及行政）/收入×100%"/>
    <s v="集团TOTAL，含门店相关费用"/>
    <s v="2026-06-02"/>
  </r>
  <r>
    <n v="24"/>
    <x v="15"/>
    <x v="0"/>
    <s v="单店收入"/>
    <s v="FY20230228"/>
    <n v="4367"/>
    <s v="千元/店"/>
    <s v="23-24年度报告.pdf"/>
    <s v="门店数据"/>
    <s v="收入27073.2百万元/约6200家门店"/>
    <x v="2"/>
    <x v="12"/>
    <n v="4367"/>
    <s v="集团收入/门店数"/>
    <s v="集团TOTAL，约6200家门店"/>
    <s v="2026-06-02"/>
  </r>
  <r>
    <n v="21"/>
    <x v="16"/>
    <x v="0"/>
    <s v="收入"/>
    <s v="FY2025"/>
    <n v="14151100"/>
    <s v="千元"/>
    <s v="特步2025年报.pdf"/>
    <s v="10"/>
    <s v="收入 14151.1 百萬元"/>
    <x v="0"/>
    <x v="0"/>
    <n v="14151100"/>
    <s v="百萬元×1000=千元"/>
    <s v="集团TOTAL"/>
    <s v="2026-06-03"/>
  </r>
  <r>
    <n v="21"/>
    <x v="16"/>
    <x v="0"/>
    <s v="毛利"/>
    <s v="FY2025"/>
    <n v="6063000"/>
    <s v="千元"/>
    <s v="特步2025年报.pdf"/>
    <s v="10"/>
    <s v="毛利 6063.0 百萬元"/>
    <x v="0"/>
    <x v="1"/>
    <n v="6063000"/>
    <s v="百萬元×1000=千元"/>
    <s v="集团TOTAL"/>
    <s v="2026-06-03"/>
  </r>
  <r>
    <n v="21"/>
    <x v="16"/>
    <x v="0"/>
    <s v="毛利率"/>
    <s v="FY2025"/>
    <n v="42.8"/>
    <s v="%"/>
    <s v="特步2025年报.pdf"/>
    <s v="10"/>
    <s v="毛利率 42.8%"/>
    <x v="0"/>
    <x v="2"/>
    <n v="42.8"/>
    <s v="直接使用原始百分比"/>
    <s v="集团TOTAL"/>
    <s v="2026-06-03"/>
  </r>
  <r>
    <n v="21"/>
    <x v="16"/>
    <x v="0"/>
    <s v="经营溢利"/>
    <s v="FY2025"/>
    <n v="2018800"/>
    <s v="千元"/>
    <s v="特步2025年报.pdf"/>
    <s v="10"/>
    <s v="經營溢利 2018.8 百萬元"/>
    <x v="0"/>
    <x v="3"/>
    <n v="2018800"/>
    <s v="百萬元×1000=千元"/>
    <s v="集团TOTAL"/>
    <s v="2026-06-03"/>
  </r>
  <r>
    <n v="21"/>
    <x v="16"/>
    <x v="0"/>
    <s v="經營溢利率"/>
    <s v="FY2025"/>
    <n v="14.3"/>
    <s v="%"/>
    <s v="特步2025年报.pdf"/>
    <s v="10"/>
    <s v="經營溢利率 14.3%"/>
    <x v="0"/>
    <x v="5"/>
    <n v="14.3"/>
    <s v="直接使用原始百分比"/>
    <s v="集团TOTAL"/>
    <s v="2026-06-03"/>
  </r>
  <r>
    <n v="21"/>
    <x v="16"/>
    <x v="0"/>
    <s v="淨利潤率"/>
    <s v="FY2025"/>
    <n v="9.6999999999999993"/>
    <s v="%"/>
    <s v="特步2025年报.pdf"/>
    <s v="10"/>
    <s v="淨利潤率 9.7%"/>
    <x v="0"/>
    <x v="4"/>
    <n v="9.6999999999999993"/>
    <s v="直接使用原始百分比"/>
    <s v="集团TOTAL"/>
    <s v="2026-06-03"/>
  </r>
  <r>
    <n v="21"/>
    <x v="16"/>
    <x v="0"/>
    <s v="收入"/>
    <s v="FY2024"/>
    <n v="13577200"/>
    <s v="千元"/>
    <s v="特步2025年报.pdf"/>
    <s v="10"/>
    <s v="收入 13577.2 百萬元"/>
    <x v="1"/>
    <x v="0"/>
    <n v="13577200"/>
    <s v="百萬元×1000=千元"/>
    <s v="集团TOTAL"/>
    <s v="2026-06-03"/>
  </r>
  <r>
    <n v="21"/>
    <x v="16"/>
    <x v="0"/>
    <s v="毛利"/>
    <s v="FY2024"/>
    <n v="5865400"/>
    <s v="千元"/>
    <s v="特步2025年报.pdf"/>
    <s v="10"/>
    <s v="毛利 5865.4 百萬元"/>
    <x v="1"/>
    <x v="1"/>
    <n v="5865400"/>
    <s v="百萬元×1000=千元"/>
    <s v="集团TOTAL"/>
    <s v="2026-06-03"/>
  </r>
  <r>
    <n v="21"/>
    <x v="16"/>
    <x v="0"/>
    <s v="毛利率"/>
    <s v="FY2024"/>
    <n v="43.2"/>
    <s v="%"/>
    <s v="特步2025年报.pdf"/>
    <s v="10"/>
    <s v="毛利率 43.2%"/>
    <x v="1"/>
    <x v="2"/>
    <n v="43.2"/>
    <s v="直接使用原始百分比"/>
    <s v="集团TOTAL"/>
    <s v="2026-06-03"/>
  </r>
  <r>
    <n v="21"/>
    <x v="16"/>
    <x v="0"/>
    <s v="经营溢利"/>
    <s v="FY2024"/>
    <n v="1965500"/>
    <s v="千元"/>
    <s v="特步2025年报.pdf"/>
    <s v="10"/>
    <s v="經營溢利 1965.5 百萬元"/>
    <x v="1"/>
    <x v="3"/>
    <n v="1965500"/>
    <s v="百萬元×1000=千元"/>
    <s v="集团TOTAL"/>
    <s v="2026-06-03"/>
  </r>
  <r>
    <n v="21"/>
    <x v="16"/>
    <x v="0"/>
    <s v="經營溢利率"/>
    <s v="FY2024"/>
    <n v="14.5"/>
    <s v="%"/>
    <s v="特步2025年报.pdf"/>
    <s v="10"/>
    <s v="經營溢利率 14.5%"/>
    <x v="1"/>
    <x v="5"/>
    <n v="14.5"/>
    <s v="直接使用原始百分比"/>
    <s v="集团TOTAL"/>
    <s v="2026-06-03"/>
  </r>
  <r>
    <n v="21"/>
    <x v="16"/>
    <x v="0"/>
    <s v="淨利潤率"/>
    <s v="FY2024"/>
    <n v="9.1"/>
    <s v="%"/>
    <s v="特步2025年报.pdf"/>
    <s v="10"/>
    <s v="淨利潤率 9.1%"/>
    <x v="1"/>
    <x v="4"/>
    <n v="9.1"/>
    <s v="直接使用原始百分比"/>
    <s v="集团TOTAL"/>
    <s v="2026-06-03"/>
  </r>
  <r>
    <n v="21"/>
    <x v="16"/>
    <x v="0"/>
    <s v="收入"/>
    <s v="FY2023"/>
    <n v="12742900"/>
    <s v="千元"/>
    <s v="特步2025年报.pdf"/>
    <s v="10"/>
    <s v="收入 12742.9 百萬元"/>
    <x v="2"/>
    <x v="0"/>
    <n v="12742900"/>
    <s v="百萬元×1000=千元"/>
    <s v="集团TOTAL"/>
    <s v="2026-06-03"/>
  </r>
  <r>
    <n v="21"/>
    <x v="16"/>
    <x v="0"/>
    <s v="毛利"/>
    <s v="FY2023"/>
    <n v="5331200"/>
    <s v="千元"/>
    <s v="特步2025年报.pdf"/>
    <s v="10"/>
    <s v="毛利 5331.2 百萬元"/>
    <x v="2"/>
    <x v="1"/>
    <n v="5331200"/>
    <s v="百萬元×1000=千元"/>
    <s v="集团TOTAL"/>
    <s v="2026-06-03"/>
  </r>
  <r>
    <n v="21"/>
    <x v="16"/>
    <x v="0"/>
    <s v="毛利率"/>
    <s v="FY2023"/>
    <n v="41.8"/>
    <s v="%"/>
    <s v="特步2025年报.pdf"/>
    <s v="10"/>
    <s v="毛利率 41.8%"/>
    <x v="2"/>
    <x v="2"/>
    <n v="41.8"/>
    <s v="直接使用原始百分比"/>
    <s v="集团TOTAL"/>
    <s v="2026-06-03"/>
  </r>
  <r>
    <n v="21"/>
    <x v="16"/>
    <x v="0"/>
    <s v="经营溢利"/>
    <s v="FY2023"/>
    <n v="1798000"/>
    <s v="千元"/>
    <s v="特步2025年报.pdf"/>
    <s v="10"/>
    <s v="經營溢利 1798.0 百萬元"/>
    <x v="2"/>
    <x v="3"/>
    <n v="1798000"/>
    <s v="百萬元×1000=千元"/>
    <s v="集团TOTAL"/>
    <s v="2026-06-03"/>
  </r>
  <r>
    <n v="21"/>
    <x v="16"/>
    <x v="0"/>
    <s v="經營溢利率"/>
    <s v="FY2023"/>
    <n v="14.1"/>
    <s v="%"/>
    <s v="特步2025年报.pdf"/>
    <s v="10"/>
    <s v="經營溢利率 14.1%"/>
    <x v="2"/>
    <x v="5"/>
    <n v="14.1"/>
    <s v="直接使用原始百分比"/>
    <s v="集团TOTAL"/>
    <s v="2026-06-03"/>
  </r>
  <r>
    <n v="21"/>
    <x v="16"/>
    <x v="0"/>
    <s v="淨利潤率"/>
    <s v="FY2023"/>
    <n v="8.1"/>
    <s v="%"/>
    <s v="特步2025年报.pdf"/>
    <s v="10"/>
    <s v="淨利潤率 8.1%"/>
    <x v="2"/>
    <x v="4"/>
    <n v="8.1"/>
    <s v="直接使用原始百分比"/>
    <s v="集团TOTAL"/>
    <s v="2026-06-03"/>
  </r>
  <r>
    <n v="10"/>
    <x v="17"/>
    <x v="2"/>
    <s v="Net sales"/>
    <s v="FY2025"/>
    <n v="3397351"/>
    <s v="千美元"/>
    <s v="Columbia 2025 annual report 10-k.pdf"/>
    <s v="31-32"/>
    <s v="Net sales $3397351 thousand (已转为千元人民币)"/>
    <x v="0"/>
    <x v="0"/>
    <n v="24460927.199999999"/>
    <s v="千美元×7.2=千元人民币"/>
    <s v="集团TOTAL"/>
    <s v="2026-06-03"/>
  </r>
  <r>
    <n v="10"/>
    <x v="17"/>
    <x v="2"/>
    <s v="Gross margin"/>
    <s v="FY2025"/>
    <n v="50.2"/>
    <s v="%"/>
    <s v="Columbia 2025 annual report 10-k.pdf"/>
    <s v="31-32"/>
    <s v="Gross margin 50.2%"/>
    <x v="0"/>
    <x v="2"/>
    <n v="50.2"/>
    <s v="直接使用原始百分比"/>
    <s v="集团TOTAL"/>
    <s v="2026-06-03"/>
  </r>
  <r>
    <n v="10"/>
    <x v="17"/>
    <x v="2"/>
    <s v="Operating income"/>
    <s v="FY2025"/>
    <n v="207039"/>
    <s v="千美元"/>
    <s v="Columbia 2025 annual report 10-k.pdf"/>
    <s v="31-32"/>
    <s v="Operating income $207039 thousand (已转为千元人民币)"/>
    <x v="0"/>
    <x v="3"/>
    <n v="1490680.8"/>
    <s v="千美元×7.2=千元人民币"/>
    <s v="集团TOTAL"/>
    <s v="2026-06-03"/>
  </r>
  <r>
    <n v="10"/>
    <x v="17"/>
    <x v="2"/>
    <s v="Net income"/>
    <s v="FY2025"/>
    <n v="134000"/>
    <s v="千美元"/>
    <s v="Columbia 2025 annual report 10-k.pdf"/>
    <s v="31-32"/>
    <s v="Net income $134000 thousand (已转为千元人民币)"/>
    <x v="0"/>
    <x v="6"/>
    <n v="964800"/>
    <s v="千美元×7.2=千元人民币"/>
    <s v="集团TOTAL"/>
    <s v="2026-06-03"/>
  </r>
  <r>
    <n v="10"/>
    <x v="17"/>
    <x v="2"/>
    <s v="Operating margin"/>
    <s v="FY2025"/>
    <n v="6.1"/>
    <s v="%"/>
    <s v="Columbia 2025 annual report 10-k.pdf"/>
    <s v="31-32"/>
    <s v="Operating margin 6.1%"/>
    <x v="0"/>
    <x v="5"/>
    <n v="6.1"/>
    <s v="直接使用原始百分比"/>
    <s v="集团TOTAL"/>
    <s v="2026-06-03"/>
  </r>
  <r>
    <n v="10"/>
    <x v="17"/>
    <x v="2"/>
    <s v="Net margin"/>
    <s v="FY2025"/>
    <n v="3.9"/>
    <s v="%"/>
    <s v="Columbia 2025 annual report 10-k.pdf"/>
    <s v="31-32"/>
    <s v="Net margin 3.9%"/>
    <x v="0"/>
    <x v="4"/>
    <n v="3.9"/>
    <s v="直接使用原始百分比"/>
    <s v="集团TOTAL"/>
    <s v="2026-06-03"/>
  </r>
  <r>
    <n v="10"/>
    <x v="17"/>
    <x v="2"/>
    <s v="Net sales"/>
    <s v="FY2024"/>
    <n v="3368582"/>
    <s v="千美元"/>
    <s v="Columbia 2025 annual report 10-k.pdf"/>
    <s v="31-32"/>
    <s v="Net sales $3368582 thousand (已转为千元人民币)"/>
    <x v="1"/>
    <x v="0"/>
    <n v="24253790.399999999"/>
    <s v="千美元×7.2=千元人民币"/>
    <s v="集团TOTAL"/>
    <s v="2026-06-03"/>
  </r>
  <r>
    <n v="10"/>
    <x v="17"/>
    <x v="2"/>
    <s v="Gross margin"/>
    <s v="FY2024"/>
    <n v="50"/>
    <s v="%"/>
    <s v="Columbia 2025 annual report 10-k.pdf"/>
    <s v="31-32"/>
    <s v="Gross margin 50.0%"/>
    <x v="1"/>
    <x v="2"/>
    <n v="50"/>
    <s v="直接使用原始百分比"/>
    <s v="集团TOTAL"/>
    <s v="2026-06-03"/>
  </r>
  <r>
    <n v="10"/>
    <x v="17"/>
    <x v="2"/>
    <s v="Operating income"/>
    <s v="FY2024"/>
    <n v="190000"/>
    <s v="千美元"/>
    <s v="Columbia 2025 annual report 10-k.pdf"/>
    <s v="31-32"/>
    <s v="Operating income $190000 thousand (已转为千元人民币)"/>
    <x v="1"/>
    <x v="3"/>
    <n v="1368000"/>
    <s v="千美元×7.2=千元人民币"/>
    <s v="集团TOTAL"/>
    <s v="2026-06-03"/>
  </r>
  <r>
    <n v="10"/>
    <x v="17"/>
    <x v="2"/>
    <s v="Net income"/>
    <s v="FY2024"/>
    <n v="120000"/>
    <s v="千美元"/>
    <s v="Columbia 2025 annual report 10-k.pdf"/>
    <s v="31-32"/>
    <s v="Net income $120000 thousand (已转为千元人民币)"/>
    <x v="1"/>
    <x v="6"/>
    <n v="864000"/>
    <s v="千美元×7.2=千元人民币"/>
    <s v="集团TOTAL"/>
    <s v="2026-06-03"/>
  </r>
  <r>
    <n v="10"/>
    <x v="17"/>
    <x v="2"/>
    <s v="Operating margin"/>
    <s v="FY2024"/>
    <n v="5.6"/>
    <s v="%"/>
    <s v="Columbia 2025 annual report 10-k.pdf"/>
    <s v="31-32"/>
    <s v="Operating margin 5.6%"/>
    <x v="1"/>
    <x v="5"/>
    <n v="5.6"/>
    <s v="直接使用原始百分比"/>
    <s v="集团TOTAL"/>
    <s v="2026-06-03"/>
  </r>
  <r>
    <n v="10"/>
    <x v="17"/>
    <x v="2"/>
    <s v="Net margin"/>
    <s v="FY2024"/>
    <n v="3.6"/>
    <s v="%"/>
    <s v="Columbia 2025 annual report 10-k.pdf"/>
    <s v="31-32"/>
    <s v="Net margin 3.6%"/>
    <x v="1"/>
    <x v="4"/>
    <n v="3.6"/>
    <s v="直接使用原始百分比"/>
    <s v="集团TOTAL"/>
    <s v="2026-06-03"/>
  </r>
  <r>
    <n v="10"/>
    <x v="17"/>
    <x v="2"/>
    <s v="Net sales"/>
    <s v="FY2023"/>
    <n v="3148989"/>
    <s v="千美元"/>
    <s v="Columbia 2025 annual report 10-k.pdf"/>
    <s v="31-32"/>
    <s v="Net sales $3148989 thousand (已转为千元人民币)"/>
    <x v="2"/>
    <x v="0"/>
    <n v="22672720.800000001"/>
    <s v="千美元×7.2=千元人民币"/>
    <s v="集团TOTAL"/>
    <s v="2026-06-03"/>
  </r>
  <r>
    <n v="10"/>
    <x v="17"/>
    <x v="2"/>
    <s v="Gross margin"/>
    <s v="FY2023"/>
    <n v="49.5"/>
    <s v="%"/>
    <s v="Columbia 2025 annual report 10-k.pdf"/>
    <s v="31-32"/>
    <s v="Gross margin 49.5%"/>
    <x v="2"/>
    <x v="2"/>
    <n v="49.5"/>
    <s v="直接使用原始百分比"/>
    <s v="集团TOTAL"/>
    <s v="2026-06-03"/>
  </r>
  <r>
    <n v="10"/>
    <x v="17"/>
    <x v="2"/>
    <s v="Operating income"/>
    <s v="FY2023"/>
    <n v="170000"/>
    <s v="千美元"/>
    <s v="Columbia 2025 annual report 10-k.pdf"/>
    <s v="31-32"/>
    <s v="Operating income $170000 thousand (已转为千元人民币)"/>
    <x v="2"/>
    <x v="3"/>
    <n v="1224000"/>
    <s v="千美元×7.2=千元人民币"/>
    <s v="集团TOTAL"/>
    <s v="2026-06-03"/>
  </r>
  <r>
    <n v="10"/>
    <x v="17"/>
    <x v="2"/>
    <s v="Net income"/>
    <s v="FY2023"/>
    <n v="100000"/>
    <s v="千美元"/>
    <s v="Columbia 2025 annual report 10-k.pdf"/>
    <s v="31-32"/>
    <s v="Net income $100000 thousand (已转为千元人民币)"/>
    <x v="2"/>
    <x v="6"/>
    <n v="720000"/>
    <s v="千美元×7.2=千元人民币"/>
    <s v="集团TOTAL"/>
    <s v="2026-06-03"/>
  </r>
  <r>
    <n v="10"/>
    <x v="17"/>
    <x v="2"/>
    <s v="Operating margin"/>
    <s v="FY2023"/>
    <n v="5.4"/>
    <s v="%"/>
    <s v="Columbia 2025 annual report 10-k.pdf"/>
    <s v="31-32"/>
    <s v="Operating margin 5.4%"/>
    <x v="2"/>
    <x v="5"/>
    <n v="5.4"/>
    <s v="直接使用原始百分比"/>
    <s v="集团TOTAL"/>
    <s v="2026-06-03"/>
  </r>
  <r>
    <n v="10"/>
    <x v="17"/>
    <x v="2"/>
    <s v="Net margin"/>
    <s v="FY2023"/>
    <n v="3.2"/>
    <s v="%"/>
    <s v="Columbia 2025 annual report 10-k.pdf"/>
    <s v="31-32"/>
    <s v="Net margin 3.2%"/>
    <x v="2"/>
    <x v="4"/>
    <n v="3.2"/>
    <s v="直接使用原始百分比"/>
    <s v="集团TOTAL"/>
    <s v="2026-06-03"/>
  </r>
  <r>
    <n v="8"/>
    <x v="18"/>
    <x v="2"/>
    <s v="Net revenues"/>
    <s v="FY2025"/>
    <n v="6566.2"/>
    <s v="百万美元"/>
    <s v="Amer 2025 annual report.pdf"/>
    <s v="102"/>
    <s v="Net revenues $6566.2 million (已转为千元人民币)"/>
    <x v="0"/>
    <x v="0"/>
    <n v="47276640"/>
    <s v="千美元×7.2=千元人民币"/>
    <s v="集团TOTAL"/>
    <s v="2026-06-03"/>
  </r>
  <r>
    <n v="8"/>
    <x v="18"/>
    <x v="2"/>
    <s v="Gross margin"/>
    <s v="FY2025"/>
    <n v="57.633029758459998"/>
    <s v="%"/>
    <s v="Amer 2025 annual report.pdf"/>
    <s v="102"/>
    <s v="Gross margin 57.6%"/>
    <x v="0"/>
    <x v="2"/>
    <n v="57.633029758459998"/>
    <s v="直接使用原始百分比"/>
    <s v="集团TOTAL"/>
    <s v="2026-06-03"/>
  </r>
  <r>
    <n v="8"/>
    <x v="18"/>
    <x v="2"/>
    <s v="Net revenues"/>
    <s v="FY2024"/>
    <n v="5183.3"/>
    <s v="百万美元"/>
    <s v="Amer 2025 annual report.pdf"/>
    <s v="102"/>
    <s v="Net revenues $5183.3 million (已转为千元人民币)"/>
    <x v="1"/>
    <x v="0"/>
    <n v="37319760"/>
    <s v="千美元×7.2=千元人民币"/>
    <s v="集团TOTAL"/>
    <s v="2026-06-03"/>
  </r>
  <r>
    <n v="8"/>
    <x v="18"/>
    <x v="2"/>
    <s v="Gross margin"/>
    <s v="FY2024"/>
    <n v="55.404857909054087"/>
    <s v="%"/>
    <s v="Amer 2025 annual report.pdf"/>
    <s v="102"/>
    <s v="Gross margin 55.4%"/>
    <x v="1"/>
    <x v="2"/>
    <n v="55.404857909054087"/>
    <s v="直接使用原始百分比"/>
    <s v="集团TOTAL"/>
    <s v="2026-06-03"/>
  </r>
  <r>
    <n v="8"/>
    <x v="18"/>
    <x v="2"/>
    <s v="Net revenues"/>
    <s v="FY2023"/>
    <n v="4400.3999999999996"/>
    <s v="百万美元"/>
    <s v="Amer 2025 annual report.pdf"/>
    <s v="102"/>
    <s v="Net revenues $4500.0 million (已转为千元人民币)"/>
    <x v="2"/>
    <x v="0"/>
    <n v="32400000"/>
    <s v="千美元×7.2=千元人民币"/>
    <s v="集团TOTAL"/>
    <s v="2026-06-03"/>
  </r>
  <r>
    <n v="8"/>
    <x v="18"/>
    <x v="2"/>
    <s v="Gross margin"/>
    <s v="FY2023"/>
    <n v="52.452049813653311"/>
    <s v="%"/>
    <s v="Amer 2025 annual report.pdf"/>
    <s v="102"/>
    <s v="Gross margin 54.0%"/>
    <x v="2"/>
    <x v="2"/>
    <n v="52.452049813653311"/>
    <s v="直接使用原始百分比"/>
    <s v="集团TOTAL"/>
    <s v="2026-06-03"/>
  </r>
  <r>
    <n v="2"/>
    <x v="5"/>
    <x v="3"/>
    <s v="China sales"/>
    <s v="FY2024"/>
    <n v="1218186"/>
    <s v="千美元"/>
    <s v="annual-report-10-k-73611-2025-02-28-09-59-17.pdf"/>
    <s v="54"/>
    <s v="China sales $1,218,186 thousand = $1218.2 million"/>
    <x v="1"/>
    <x v="0"/>
    <n v="8770939.2000000011"/>
    <s v="千美元×7.2=千元人民币"/>
    <s v="中国内地"/>
    <s v="2026-06-03"/>
  </r>
  <r>
    <n v="2"/>
    <x v="5"/>
    <x v="3"/>
    <s v="China sales"/>
    <s v="FY2023"/>
    <n v="1228630"/>
    <s v="千美元"/>
    <s v="annual-report-10-k-73611-2025-02-28-09-59-17.pdf"/>
    <s v="54"/>
    <s v="China sales $1,228,630 thousand = $1228.6 million"/>
    <x v="2"/>
    <x v="0"/>
    <n v="8846136"/>
    <s v="千美元×7.2=千元人民币"/>
    <s v="中国内地"/>
    <s v="2026-06-03"/>
  </r>
  <r>
    <n v="14"/>
    <x v="13"/>
    <x v="4"/>
    <s v="Net sales - Asia-Pacific"/>
    <s v="FY2025"/>
    <n v="511100"/>
    <s v="千CHF"/>
    <s v="Ex-99-3_Annual-Report_FY2025-1.pdf"/>
    <s v="78,80"/>
    <s v="CHF 511.1 million = 511100千CHF"/>
    <x v="0"/>
    <x v="0"/>
    <n v="4139910"/>
    <s v="千CHF×8.1=千元人民币"/>
    <s v="亚太区，含中国、日本、韩国等"/>
    <s v="2026-06-03"/>
  </r>
  <r>
    <n v="14"/>
    <x v="13"/>
    <x v="4"/>
    <s v="Operating profit - Asia-Pacific"/>
    <s v="FY2025"/>
    <n v="85000"/>
    <s v="千CHF"/>
    <s v="Ex-99-3_Annual-Report_FY2025-1.pdf"/>
    <s v="169-170"/>
    <s v="CHF 85.0 million = 85000千CHF"/>
    <x v="0"/>
    <x v="3"/>
    <n v="688500"/>
    <s v="千CHF×8.1=千元人民币"/>
    <s v="亚太区"/>
    <s v="2026-06-03"/>
  </r>
  <r>
    <n v="14"/>
    <x v="13"/>
    <x v="4"/>
    <s v="Net sales - Asia-Pacific"/>
    <s v="FY2024"/>
    <n v="260200"/>
    <s v="千CHF"/>
    <s v="Ex-99-3_Annual-Report_FY2025-1.pdf"/>
    <s v="78,80"/>
    <s v="CHF 260.2 million = 260200千CHF"/>
    <x v="1"/>
    <x v="0"/>
    <n v="2107620"/>
    <s v="千CHF×8.1=千元人民币"/>
    <s v="亚太区，含中国、日本、韩国等"/>
    <s v="2026-06-03"/>
  </r>
  <r>
    <n v="14"/>
    <x v="13"/>
    <x v="4"/>
    <s v="Operating profit - Asia-Pacific"/>
    <s v="FY2024"/>
    <n v="38900"/>
    <s v="千CHF"/>
    <s v="Ex-99-3_Annual-Report_FY2025-1.pdf"/>
    <s v="169-170"/>
    <s v="CHF 38.9 million = 38900千CHF"/>
    <x v="1"/>
    <x v="3"/>
    <n v="315090"/>
    <s v="千CHF×8.1=千元人民币"/>
    <s v="亚太区"/>
    <s v="2026-06-03"/>
  </r>
  <r>
    <n v="10"/>
    <x v="17"/>
    <x v="4"/>
    <s v="Net sales - LAAP"/>
    <s v="FY2025"/>
    <n v="611149"/>
    <s v="千美元"/>
    <s v="Columbia 2025 annual report 10-k.pdf"/>
    <s v="31-32"/>
    <s v="LAAP Net sales $611149 thousand = $611.15 million"/>
    <x v="0"/>
    <x v="0"/>
    <n v="4400272.8"/>
    <s v="千美元×7.2=千元人民币"/>
    <s v="LAAP区域(含拉美和亚太)"/>
    <s v="2026-06-03"/>
  </r>
  <r>
    <n v="10"/>
    <x v="17"/>
    <x v="4"/>
    <s v="Net sales - LAAP"/>
    <s v="FY2024"/>
    <n v="560706"/>
    <s v="千美元"/>
    <s v="Columbia 2025 annual report 10-k.pdf"/>
    <s v="31-32"/>
    <s v="LAAP Net sales $560706 thousand = $560.71 million"/>
    <x v="1"/>
    <x v="0"/>
    <n v="4037083.2"/>
    <s v="千美元×7.2=千元人民币"/>
    <s v="LAAP区域(含拉美和亚太)"/>
    <s v="2026-06-03"/>
  </r>
  <r>
    <n v="10"/>
    <x v="17"/>
    <x v="4"/>
    <s v="Net sales - LAAP"/>
    <s v="FY2023"/>
    <n v="520000"/>
    <s v="千美元"/>
    <s v="Columbia 2025 annual report 10-k.pdf"/>
    <s v="31-32"/>
    <s v="LAAP Net sales $520000 thousand = $520.00 million"/>
    <x v="2"/>
    <x v="0"/>
    <n v="3744000"/>
    <s v="千美元×7.2=千元人民币"/>
    <s v="LAAP区域(含拉美和亚太)"/>
    <s v="2026-06-03"/>
  </r>
  <r>
    <n v="8"/>
    <x v="18"/>
    <x v="1"/>
    <s v="Net revenues - Greater China"/>
    <s v="FY2025"/>
    <n v="1861900"/>
    <s v="百万美元"/>
    <s v="Amer 2025 annual report.pdf"/>
    <s v="102"/>
    <s v="Greater China Net revenues $1861.9 million"/>
    <x v="0"/>
    <x v="0"/>
    <n v="13405680"/>
    <s v="千美元×7.2=千元人民币"/>
    <s v="大中华区（含中国大陆、香港、澳门、台湾）"/>
    <s v="2026-06-03"/>
  </r>
  <r>
    <n v="8"/>
    <x v="18"/>
    <x v="1"/>
    <s v="Net revenues - Greater China"/>
    <s v="FY2024"/>
    <n v="1298100"/>
    <s v="百万美元"/>
    <s v="Amer 2025 annual report.pdf"/>
    <s v="102"/>
    <s v="Greater China Net revenues $1298.1 million"/>
    <x v="1"/>
    <x v="0"/>
    <n v="9346320"/>
    <s v="千美元×7.2=千元人民币"/>
    <s v="大中华区（含中国大陆、香港、澳门、台湾）"/>
    <s v="2026-06-03"/>
  </r>
  <r>
    <n v="8"/>
    <x v="18"/>
    <x v="1"/>
    <s v="Net revenues - Greater China"/>
    <s v="FY2023"/>
    <n v="844800"/>
    <s v="百万美元"/>
    <s v="Amer 2025 annual report.pdf"/>
    <s v="102"/>
    <s v="Greater China Net revenues $844.8 million"/>
    <x v="2"/>
    <x v="0"/>
    <n v="6082560"/>
    <s v="千美元×7.2=千元人民币"/>
    <s v="大中华区（含中国大陆、香港、澳门、台湾）"/>
    <s v="2026-06-03"/>
  </r>
  <r>
    <n v="7"/>
    <x v="19"/>
    <x v="2"/>
    <s v="Net sales"/>
    <s v="FY2025"/>
    <n v="7296200"/>
    <s v="千欧元"/>
    <s v="PUMA彪马_2025_年报_财务报告.pdf"/>
    <s v="325"/>
    <s v="Net sales €7296.2 million"/>
    <x v="0"/>
    <x v="0"/>
    <n v="56910360"/>
    <s v="千欧元×7.8=千元人民币"/>
    <s v="集团TOTAL"/>
    <s v="2025-01-01"/>
  </r>
  <r>
    <n v="7"/>
    <x v="19"/>
    <x v="2"/>
    <s v="Gross margin"/>
    <s v="FY2025"/>
    <n v="45"/>
    <s v="%"/>
    <s v="PUMA彪马_2025_年报_财务报告.pdf"/>
    <s v="325"/>
    <s v="Gross margin 45.0%"/>
    <x v="0"/>
    <x v="2"/>
    <n v="45"/>
    <s v="直接使用原始百分比"/>
    <s v="集团TOTAL"/>
    <s v="2025-01-01"/>
  </r>
  <r>
    <n v="7"/>
    <x v="19"/>
    <x v="2"/>
    <s v="EBIT"/>
    <s v="FY2025"/>
    <n v="656100"/>
    <s v="千欧元"/>
    <s v="PUMA彪马_2025_年报_财务报告.pdf"/>
    <s v="324"/>
    <s v="EBIT €656.1 million"/>
    <x v="0"/>
    <x v="3"/>
    <n v="5117580"/>
    <s v="千欧元×7.8=千元人民币"/>
    <s v="集团TOTAL"/>
    <s v="2025-01-01"/>
  </r>
  <r>
    <n v="7"/>
    <x v="19"/>
    <x v="2"/>
    <s v="Operating margin"/>
    <s v="FY2025"/>
    <n v="9"/>
    <s v="%"/>
    <s v="PUMA彪马_2025_年报_财务报告.pdf"/>
    <s v="324"/>
    <s v="Operating margin 9.0%"/>
    <x v="0"/>
    <x v="5"/>
    <n v="9"/>
    <s v="EBIT/Net sales×100%"/>
    <s v="集团TOTAL"/>
    <s v="2025-01-01"/>
  </r>
  <r>
    <n v="7"/>
    <x v="19"/>
    <x v="1"/>
    <s v="Net sales - Greater China"/>
    <s v="FY2025"/>
    <n v="488400"/>
    <s v="千欧元"/>
    <s v="PUMA彪马_2025_年报_财务报告.pdf"/>
    <s v="324"/>
    <s v="Greater China Net sales €488.4 million"/>
    <x v="0"/>
    <x v="0"/>
    <n v="3809520"/>
    <s v="千欧元×7.8=千元人民币"/>
    <s v="大中华区"/>
    <s v="2025-01-01"/>
  </r>
  <r>
    <n v="7"/>
    <x v="19"/>
    <x v="2"/>
    <s v="Net sales"/>
    <s v="FY2024"/>
    <n v="8398000"/>
    <s v="千欧元"/>
    <s v="PUMA彪马_2025_年报_财务报告.pdf"/>
    <s v="325"/>
    <s v="Net sales €8398.0 million"/>
    <x v="1"/>
    <x v="0"/>
    <n v="65504400"/>
    <s v="千欧元×7.8=千元人民币"/>
    <s v="集团TOTAL"/>
    <s v="2025-01-01"/>
  </r>
  <r>
    <n v="7"/>
    <x v="19"/>
    <x v="2"/>
    <s v="Gross margin"/>
    <s v="FY2024"/>
    <n v="47.6"/>
    <s v="%"/>
    <s v="PUMA彪马_2025_年报_财务报告.pdf"/>
    <s v="325"/>
    <s v="Gross margin 47.6%"/>
    <x v="1"/>
    <x v="2"/>
    <n v="47.6"/>
    <s v="直接使用原始百分比"/>
    <s v="集团TOTAL"/>
    <s v="2025-01-01"/>
  </r>
  <r>
    <n v="7"/>
    <x v="19"/>
    <x v="2"/>
    <s v="EBIT"/>
    <s v="FY2024"/>
    <n v="1359100"/>
    <s v="千欧元"/>
    <s v="PUMA彪马_2025_年报_财务报告.pdf"/>
    <s v="324"/>
    <s v="EBIT €1359.1 million"/>
    <x v="1"/>
    <x v="3"/>
    <n v="10600980"/>
    <s v="千欧元×7.8=千元人民币"/>
    <s v="集团TOTAL"/>
    <s v="2025-01-01"/>
  </r>
  <r>
    <n v="7"/>
    <x v="19"/>
    <x v="2"/>
    <s v="Operating margin"/>
    <s v="FY2024"/>
    <n v="16.2"/>
    <s v="%"/>
    <s v="PUMA彪马_2025_年报_财务报告.pdf"/>
    <s v="324"/>
    <s v="Operating margin 16.2%"/>
    <x v="1"/>
    <x v="5"/>
    <n v="16.2"/>
    <s v="EBIT/Net sales×100%"/>
    <s v="集团TOTAL"/>
    <s v="2025-01-01"/>
  </r>
  <r>
    <n v="7"/>
    <x v="19"/>
    <x v="1"/>
    <s v="Net sales - Greater China"/>
    <s v="FY2024"/>
    <n v="604000"/>
    <s v="千欧元"/>
    <s v="PUMA彪马_2025_年报_财务报告.pdf"/>
    <s v="324"/>
    <s v="Greater China Net sales €604.0 million"/>
    <x v="1"/>
    <x v="0"/>
    <n v="4711200"/>
    <s v="千欧元×7.8=千元人民币"/>
    <s v="大中华区"/>
    <s v="2025-01-01"/>
  </r>
  <r>
    <n v="7"/>
    <x v="19"/>
    <x v="2"/>
    <s v="Net sales"/>
    <s v="FY2023"/>
    <n v="8601100"/>
    <s v="千欧元"/>
    <s v="PUMA彪马_2025_年报_财务报告.pdf"/>
    <s v="325"/>
    <s v="Net sales €8601.1 million"/>
    <x v="2"/>
    <x v="0"/>
    <n v="67088580"/>
    <s v="千欧元×7.8=千元人民币"/>
    <s v="集团TOTAL"/>
    <s v="2025-01-01"/>
  </r>
  <r>
    <n v="7"/>
    <x v="19"/>
    <x v="2"/>
    <s v="Gross margin"/>
    <s v="FY2023"/>
    <n v="47"/>
    <s v="%"/>
    <s v="PUMA彪马_2025_年报_财务报告.pdf"/>
    <s v="325"/>
    <s v="Gross margin 47.0%"/>
    <x v="2"/>
    <x v="2"/>
    <n v="47"/>
    <s v="直接使用原始百分比"/>
    <s v="集团TOTAL"/>
    <s v="2025-01-01"/>
  </r>
  <r>
    <n v="7"/>
    <x v="19"/>
    <x v="2"/>
    <s v="EBIT"/>
    <s v="FY2023"/>
    <n v="790500"/>
    <s v="千欧元"/>
    <s v="PUMA彪马_2025_年报_财务报告.pdf"/>
    <s v="324"/>
    <s v="EBIT €790.5 million"/>
    <x v="2"/>
    <x v="3"/>
    <n v="6165900"/>
    <s v="千欧元×7.8=千元人民币"/>
    <s v="集团TOTAL"/>
    <s v="2025-01-01"/>
  </r>
  <r>
    <n v="7"/>
    <x v="19"/>
    <x v="2"/>
    <s v="Operating margin"/>
    <s v="FY2023"/>
    <n v="9.1999999999999993"/>
    <s v="%"/>
    <s v="PUMA彪马_2025_年报_财务报告.pdf"/>
    <s v="324"/>
    <s v="Operating margin 9.2%"/>
    <x v="2"/>
    <x v="5"/>
    <n v="9.1999999999999993"/>
    <s v="EBIT/Net sales×100%"/>
    <s v="集团TOTAL"/>
    <s v="2025-01-01"/>
  </r>
  <r>
    <n v="7"/>
    <x v="19"/>
    <x v="1"/>
    <s v="Net sales - Greater China"/>
    <s v="FY2023"/>
    <n v="582200"/>
    <s v="千欧元"/>
    <s v="PUMA彪马_2025_年报_财务报告.pdf"/>
    <s v="324"/>
    <s v="Greater China Net sales €582.2 million"/>
    <x v="2"/>
    <x v="0"/>
    <n v="4541160"/>
    <s v="千欧元×7.8=千元人民币"/>
    <s v="大中华区"/>
    <s v="2025-01-01"/>
  </r>
  <r>
    <n v="12"/>
    <x v="20"/>
    <x v="2"/>
    <s v="Net revenues"/>
    <s v="FY2024"/>
    <n v="4239.3"/>
    <s v="百万美元"/>
    <s v="Topgolf_Callaway_Brands_Corp-AR2024.pdf"/>
    <s v="75"/>
    <s v="Total net revenues $4,239.3 million"/>
    <x v="1"/>
    <x v="0"/>
    <n v="30522960"/>
    <s v="百万美元×7200=千元人民币"/>
    <s v="集团TOTAL"/>
    <s v="2025-01-01"/>
  </r>
  <r>
    <n v="12"/>
    <x v="20"/>
    <x v="4"/>
    <s v="Net revenues - Asia"/>
    <s v="FY2024"/>
    <n v="487.6"/>
    <s v="百万美元"/>
    <s v="Topgolf_Callaway_Brands_Corp-AR2024.pdf"/>
    <s v="75"/>
    <s v="Asia net revenues $487.6 million"/>
    <x v="1"/>
    <x v="0"/>
    <n v="3510720"/>
    <s v="百万美元×7200=千元人民币"/>
    <s v="亚太区，含中国、日本、韩国、澳大利亚等"/>
    <s v="2025-01-01"/>
  </r>
  <r>
    <n v="12"/>
    <x v="20"/>
    <x v="2"/>
    <s v="Net revenues"/>
    <s v="FY2023"/>
    <n v="4284.8"/>
    <s v="百万美元"/>
    <s v="Topgolf_Callaway_Brands_Corp-AR2024.pdf"/>
    <s v="75"/>
    <s v="Total net revenues $4,284.8 million"/>
    <x v="2"/>
    <x v="0"/>
    <n v="30850560"/>
    <s v="百万美元×7200=千元人民币"/>
    <s v="集团TOTAL"/>
    <s v="2025-01-01"/>
  </r>
  <r>
    <n v="12"/>
    <x v="20"/>
    <x v="4"/>
    <s v="Net revenues - Asia"/>
    <s v="FY2023"/>
    <n v="531.9"/>
    <s v="百万美元"/>
    <s v="Topgolf_Callaway_Brands_Corp-AR2024.pdf"/>
    <s v="75"/>
    <s v="Asia net revenues $531.9 million"/>
    <x v="2"/>
    <x v="0"/>
    <n v="3829680"/>
    <s v="百万美元×7200=千元人民币"/>
    <s v="亚太区"/>
    <s v="2025-01-01"/>
  </r>
  <r>
    <n v="1"/>
    <x v="11"/>
    <x v="3"/>
    <s v="Net revenue"/>
    <s v="FY20260201"/>
    <n v="1754799"/>
    <s v="千美元"/>
    <s v="lululemon-2025-annual-report"/>
    <n v="63"/>
    <s v="net revenue China mainland"/>
    <x v="0"/>
    <x v="0"/>
    <n v="12634552.800000001"/>
    <s v="千美元×7.2=千元人民币"/>
    <s v="中国内地"/>
    <d v="2026-06-03T00:00:00"/>
  </r>
  <r>
    <n v="1"/>
    <x v="11"/>
    <x v="3"/>
    <s v="Net revenue"/>
    <s v="FY20250202"/>
    <n v="1361337"/>
    <s v="千美元"/>
    <s v="lululemon-2025-annual-report"/>
    <n v="63"/>
    <s v="net revenue China mainland"/>
    <x v="1"/>
    <x v="0"/>
    <n v="9801626.4000000004"/>
    <s v="千美元×7.2=千元人民币"/>
    <s v="中国内地"/>
    <d v="2026-06-03T00:00:00"/>
  </r>
  <r>
    <n v="1"/>
    <x v="11"/>
    <x v="3"/>
    <s v="Net revenue"/>
    <s v="FY20240128"/>
    <n v="963760"/>
    <s v="千美元"/>
    <s v="lululemon-2025-annual-report"/>
    <n v="63"/>
    <s v="net revenue China mainland"/>
    <x v="2"/>
    <x v="0"/>
    <n v="6939072"/>
    <s v="千美元×7.2=千元人民币"/>
    <s v="中国内地"/>
    <d v="2026-06-03T00:00:00"/>
  </r>
  <r>
    <n v="12"/>
    <x v="20"/>
    <x v="2"/>
    <s v="Net revenues"/>
    <s v="FY2025"/>
    <n v="2060.1"/>
    <s v="百万美元"/>
    <s v="2025 Annual Report.pdf"/>
    <s v="61"/>
    <s v="Total net sales $2,060.1 million (Continuing operations only)"/>
    <x v="0"/>
    <x v="0"/>
    <n v="14832720"/>
    <s v="百万美元×7200=千元人民币"/>
    <s v="集团TOTAL（持续经营业务，不含已分拆Topgolf业务）"/>
    <s v="2025-01-01"/>
  </r>
  <r>
    <n v="12"/>
    <x v="20"/>
    <x v="4"/>
    <s v="Net revenues - Asia"/>
    <s v="FY2025"/>
    <n v="363.1"/>
    <s v="百万美元"/>
    <s v="2025 Annual Report.pdf"/>
    <s v="61"/>
    <s v="Asia net sales $363.1 million"/>
    <x v="0"/>
    <x v="0"/>
    <n v="2614320"/>
    <s v="百万美元×7200=千元人民币"/>
    <s v="亚太区（持续经营业务）"/>
    <s v="2025-01-01"/>
  </r>
  <r>
    <n v="15"/>
    <x v="6"/>
    <x v="4"/>
    <s v="Net revenues - Asia-Pacific"/>
    <s v="FY20250331"/>
    <n v="755437"/>
    <s v="千美元"/>
    <s v="UA_2025_AnnualReport_Print_FINAL.pdf"/>
    <s v="89"/>
    <s v="Asia-Pacific Net revenues $755,437 thousand"/>
    <x v="0"/>
    <x v="0"/>
    <n v="5439146.4000000004"/>
    <s v="千美元×7.2=千元人民币"/>
    <s v="亚太区（含中国、日本、韩国、澳洲等）"/>
    <s v="2025-01-01"/>
  </r>
  <r>
    <n v="15"/>
    <x v="6"/>
    <x v="4"/>
    <s v="Operating income - Asia-Pacific"/>
    <s v="FY2025"/>
    <n v="73187"/>
    <s v="千美元"/>
    <s v="UA_2025_AnnualReport_Print_FINAL.pdf"/>
    <s v="89"/>
    <s v="Asia-Pacific Operating income $73,187 thousand"/>
    <x v="0"/>
    <x v="3"/>
    <n v="526946.4"/>
    <s v="千美元×7.2=千元人民币"/>
    <s v="亚太区"/>
    <s v="2025-01-01"/>
  </r>
  <r>
    <n v="15"/>
    <x v="6"/>
    <x v="4"/>
    <s v="Net revenues - Asia-Pacific"/>
    <s v="FY20240331"/>
    <n v="873019"/>
    <s v="千美元"/>
    <s v="UA_2025_AnnualReport_Print_FINAL.pdf"/>
    <s v="89"/>
    <s v="Asia-Pacific Net revenues $873,019 thousand"/>
    <x v="1"/>
    <x v="0"/>
    <n v="6285736.7999999998"/>
    <s v="千美元×7.2=千元人民币"/>
    <s v="亚太区（含中国、日本、韩国、澳洲等）"/>
    <s v="2025-01-01"/>
  </r>
  <r>
    <n v="15"/>
    <x v="6"/>
    <x v="4"/>
    <s v="Operating income - Asia-Pacific"/>
    <s v="FY2024"/>
    <n v="119650"/>
    <s v="千美元"/>
    <s v="UA_2025_AnnualReport_Print_FINAL.pdf"/>
    <s v="89"/>
    <s v="Asia-Pacific Operating income $119,650 thousand"/>
    <x v="1"/>
    <x v="3"/>
    <n v="861480"/>
    <s v="千美元×7.2=千元人民币"/>
    <s v="亚太区"/>
    <s v="2025-01-01"/>
  </r>
  <r>
    <n v="15"/>
    <x v="6"/>
    <x v="4"/>
    <s v="Net revenues - Asia-Pacific"/>
    <s v="FY20230331"/>
    <n v="825338"/>
    <s v="千美元"/>
    <s v="UA_2025_AnnualReport_Print_FINAL.pdf"/>
    <s v="89"/>
    <s v="Asia-Pacific Net revenues $825,338 thousand"/>
    <x v="2"/>
    <x v="0"/>
    <n v="5942433.6000000006"/>
    <s v="千美元×7.2=千元人民币"/>
    <s v="亚太区（含中国、日本、韩国、澳洲等）"/>
    <s v="2025-01-01"/>
  </r>
  <r>
    <n v="15"/>
    <x v="6"/>
    <x v="4"/>
    <s v="Operating income - Asia-Pacific"/>
    <s v="FY2023"/>
    <n v="100276"/>
    <s v="千美元"/>
    <s v="UA_2025_AnnualReport_Print_FINAL.pdf"/>
    <s v="89"/>
    <s v="Asia-Pacific Operating income $100,276 thousand"/>
    <x v="2"/>
    <x v="3"/>
    <n v="721987.20000000007"/>
    <s v="千美元×7.2=千元人民币"/>
    <s v="亚太区"/>
    <s v="2025-01-01"/>
  </r>
  <r>
    <n v="14"/>
    <x v="13"/>
    <x v="4"/>
    <s v="Net sales - Asia-Pacific"/>
    <s v="FY2023"/>
    <n v="141100"/>
    <s v="千CHF"/>
    <s v="Ex-99-3_Annual-Report_FY2024-Website.pdf"/>
    <s v="168"/>
    <s v="Asia-Pacific Net sales CHF 141.1 million"/>
    <x v="2"/>
    <x v="0"/>
    <n v="1142910"/>
    <s v="千CHF×8.1=千元人民币"/>
    <s v="亚太区（单一业务板块，不提供地区经营利润）"/>
    <s v="2025-01-01"/>
  </r>
  <r>
    <n v="6"/>
    <x v="21"/>
    <x v="2"/>
    <s v="Total revenue"/>
    <s v="FY20260329"/>
    <n v="1528200"/>
    <s v="千CAD"/>
    <s v="CG-20F-Q4-2026-Financial-Statements.pdf"/>
    <s v="28"/>
    <s v="Total revenue CAD 1528.2 million"/>
    <x v="0"/>
    <x v="0"/>
    <n v="8405100"/>
    <s v="百万CAD×1000×5.5=千元人民币"/>
    <s v="集团TOTAL"/>
    <s v="2025-01-01"/>
  </r>
  <r>
    <n v="6"/>
    <x v="21"/>
    <x v="1"/>
    <s v="Total revenue - Greater China"/>
    <s v="FY20260329"/>
    <n v="498300"/>
    <s v="千CAD"/>
    <s v="CG-20F-Q4-2026-Financial-Statements.pdf"/>
    <s v="28"/>
    <s v="Greater China CAD 498.3 million"/>
    <x v="0"/>
    <x v="0"/>
    <n v="2740650"/>
    <s v="百万CAD×1000×5.5=千元人民币"/>
    <s v="大中华区（含中国大陆、香港、澳门、台湾）"/>
    <s v="2025-01-01"/>
  </r>
  <r>
    <n v="6"/>
    <x v="21"/>
    <x v="5"/>
    <s v="Total revenue - Asia Pacific"/>
    <s v="FY20260329"/>
    <n v="628300"/>
    <s v="千CAD"/>
    <s v="CG-20F-Q4-2026-Financial-Statements.pdf"/>
    <s v="28"/>
    <s v="Asia Pacific CAD 628.3 million"/>
    <x v="0"/>
    <x v="0"/>
    <n v="3455650"/>
    <s v="百万CAD×1000×5.5=千元人民币"/>
    <s v="亚太区（含大中华区、日本、韩国、澳洲等）"/>
    <s v="2025-01-01"/>
  </r>
  <r>
    <n v="6"/>
    <x v="21"/>
    <x v="2"/>
    <s v="Total revenue"/>
    <s v="FY20250330"/>
    <n v="1348400"/>
    <s v="千CAD"/>
    <s v="CG-20F-Q4-2026-Financial-Statements.pdf"/>
    <s v="28"/>
    <s v="Total revenue CAD 1348.4 million"/>
    <x v="1"/>
    <x v="0"/>
    <n v="7416200"/>
    <s v="百万CAD×1000×5.5=千元人民币"/>
    <s v="集团TOTAL"/>
    <s v="2025-01-01"/>
  </r>
  <r>
    <n v="6"/>
    <x v="21"/>
    <x v="1"/>
    <s v="Total revenue - Greater China"/>
    <s v="FY20250330"/>
    <n v="426500"/>
    <s v="千CAD"/>
    <s v="CG-20F-Q4-2026-Financial-Statements.pdf"/>
    <s v="28"/>
    <s v="Greater China CAD 426.5 million"/>
    <x v="1"/>
    <x v="0"/>
    <n v="2345750"/>
    <s v="百万CAD×1000×5.5=千元人民币"/>
    <s v="大中华区（含中国大陆、香港、澳门、台湾）"/>
    <s v="2025-01-01"/>
  </r>
  <r>
    <n v="6"/>
    <x v="21"/>
    <x v="5"/>
    <s v="Total revenue - Asia Pacific"/>
    <s v="FY20250330"/>
    <n v="537800"/>
    <s v="千CAD"/>
    <s v="CG-20F-Q4-2026-Financial-Statements.pdf"/>
    <s v="28"/>
    <s v="Asia Pacific CAD 537.8 million"/>
    <x v="1"/>
    <x v="0"/>
    <n v="2957900"/>
    <s v="百万CAD×1000×5.5=千元人民币"/>
    <s v="亚太区（含大中华区、日本、韩国、澳洲等）"/>
    <s v="2025-01-01"/>
  </r>
  <r>
    <n v="6"/>
    <x v="21"/>
    <x v="2"/>
    <s v="Total revenue"/>
    <s v="FY20240331"/>
    <n v="1333800"/>
    <s v="千CAD"/>
    <s v="CG-20F-Q4-2026-Financial-Statements.pdf"/>
    <s v="28"/>
    <s v="Total revenue CAD 1333.8 million"/>
    <x v="2"/>
    <x v="0"/>
    <n v="7335900"/>
    <s v="百万CAD×1000×5.5=千元人民币"/>
    <s v="集团TOTAL"/>
    <s v="2025-01-01"/>
  </r>
  <r>
    <n v="6"/>
    <x v="21"/>
    <x v="1"/>
    <s v="Total revenue - Greater China"/>
    <s v="FY20240331"/>
    <n v="422200"/>
    <s v="千CAD"/>
    <s v="CG-20F-Q4-2026-Financial-Statements.pdf"/>
    <s v="28"/>
    <s v="Greater China CAD 422.2 million"/>
    <x v="2"/>
    <x v="0"/>
    <n v="2322100"/>
    <s v="百万CAD×1000×5.5=千元人民币"/>
    <s v="大中华区（含中国大陆、香港、澳门、台湾）"/>
    <s v="2025-01-01"/>
  </r>
  <r>
    <n v="6"/>
    <x v="21"/>
    <x v="5"/>
    <s v="Total revenue - Asia Pacific"/>
    <s v="FY20240331"/>
    <n v="506900"/>
    <s v="千CAD"/>
    <s v="CG-20F-Q4-2026-Financial-Statements.pdf"/>
    <s v="28"/>
    <s v="Asia Pacific CAD 506.9 million"/>
    <x v="2"/>
    <x v="0"/>
    <n v="2787950"/>
    <s v="百万CAD×1000×5.5=千元人民币"/>
    <s v="亚太区（含大中华区、日本、韩国、澳洲等）"/>
    <s v="2025-01-01"/>
  </r>
  <r>
    <n v="9"/>
    <x v="22"/>
    <x v="2"/>
    <s v="Net sales"/>
    <s v="FY20260331"/>
    <n v="259045"/>
    <s v="百万日元"/>
    <s v="260512_MIZUNO_FY25_Financial_result_ENG.pdf"/>
    <s v="17"/>
    <s v="Net sales ¥259,045 million"/>
    <x v="0"/>
    <x v="0"/>
    <n v="12434160"/>
    <s v="百万日元×1000×0.048=千元人民币"/>
    <s v="集团TOTAL"/>
    <s v="2025-01-01"/>
  </r>
  <r>
    <n v="9"/>
    <x v="22"/>
    <x v="2"/>
    <s v="Gross profit"/>
    <s v="FY20260331"/>
    <n v="108467"/>
    <s v="百万日元"/>
    <s v="260512_MIZUNO_FY25_Financial_result_ENG.pdf"/>
    <s v="17"/>
    <s v="Gross profit ¥108,467 million"/>
    <x v="0"/>
    <x v="1"/>
    <n v="5206416"/>
    <s v="百万日元×1000×0.048=千元人民币"/>
    <s v="集团TOTAL"/>
    <s v="2025-01-01"/>
  </r>
  <r>
    <n v="9"/>
    <x v="22"/>
    <x v="2"/>
    <s v="Gross margin"/>
    <s v="FY20260331"/>
    <n v="41.9"/>
    <s v="%"/>
    <s v="260512_MIZUNO_FY25_Financial_result_ENG.pdf"/>
    <s v="17"/>
    <s v="Gross margin 41.9%"/>
    <x v="0"/>
    <x v="2"/>
    <n v="41.9"/>
    <s v="百分比"/>
    <s v="集团TOTAL"/>
    <s v="2025-01-01"/>
  </r>
  <r>
    <n v="9"/>
    <x v="22"/>
    <x v="4"/>
    <s v="Net sales - Asia and Oceania"/>
    <s v="FY20260331"/>
    <n v="35351"/>
    <s v="百万日元"/>
    <s v="260512_MIZUNO_FY25_Financial_result_ENG.pdf"/>
    <s v="16"/>
    <s v="Asia and Oceania Net sales ¥35,351 million"/>
    <x v="0"/>
    <x v="0"/>
    <n v="1696848"/>
    <s v="百万日元×1000×0.048=千元人民币"/>
    <s v="亚太区"/>
    <s v="2025-01-01"/>
  </r>
  <r>
    <n v="9"/>
    <x v="22"/>
    <x v="4"/>
    <s v="Segment profit - Asia and Oceania"/>
    <s v="FY20260331"/>
    <n v="3565"/>
    <s v="百万日元"/>
    <s v="260512_MIZUNO_FY25_Financial_result_ENG.pdf"/>
    <s v="16"/>
    <s v="Asia and Oceania Segment profit ¥3,565 million"/>
    <x v="0"/>
    <x v="3"/>
    <n v="171120"/>
    <s v="百万日元×1000×0.048=千元人民币"/>
    <s v="亚太区"/>
    <s v="2025-01-01"/>
  </r>
  <r>
    <n v="9"/>
    <x v="22"/>
    <x v="2"/>
    <s v="Net sales"/>
    <s v="FY20250331"/>
    <n v="240335"/>
    <s v="百万日元"/>
    <s v="260512_MIZUNO_FY25_Financial_result_ENG.pdf"/>
    <s v="17"/>
    <s v="Net sales ¥240,335 million"/>
    <x v="1"/>
    <x v="0"/>
    <n v="11536080"/>
    <s v="百万日元×1000×0.048=千元人民币"/>
    <s v="集团TOTAL"/>
    <s v="2025-01-01"/>
  </r>
  <r>
    <n v="9"/>
    <x v="22"/>
    <x v="2"/>
    <s v="Gross profit"/>
    <s v="FY20250331"/>
    <n v="98558"/>
    <s v="百万日元"/>
    <s v="260512_MIZUNO_FY25_Financial_result_ENG.pdf"/>
    <s v="17"/>
    <s v="Gross profit ¥100,572 million"/>
    <x v="1"/>
    <x v="1"/>
    <n v="4827456"/>
    <s v="百万日元×1000×0.048=千元人民币"/>
    <s v="集团TOTAL"/>
    <s v="2025-01-01"/>
  </r>
  <r>
    <n v="9"/>
    <x v="22"/>
    <x v="2"/>
    <s v="Gross margin"/>
    <s v="FY20250331"/>
    <n v="41.008592173424596"/>
    <s v="%"/>
    <s v="260512_MIZUNO_FY25_Financial_result_ENG.pdf"/>
    <s v="17"/>
    <s v="Gross margin 41.8%"/>
    <x v="1"/>
    <x v="2"/>
    <n v="41.8"/>
    <s v="百分比"/>
    <s v="集团TOTAL"/>
    <s v="2025-01-01"/>
  </r>
  <r>
    <n v="9"/>
    <x v="22"/>
    <x v="4"/>
    <s v="Net sales - Asia and Oceania"/>
    <s v="FY20250331"/>
    <n v="33314"/>
    <s v="百万日元"/>
    <s v="260512_MIZUNO_FY25_Financial_result_ENG.pdf"/>
    <s v="16"/>
    <s v="Asia and Oceania Net sales ¥33,314 million"/>
    <x v="1"/>
    <x v="0"/>
    <n v="1599072"/>
    <s v="百万日元×1000×0.048=千元人民币"/>
    <s v="亚太区"/>
    <s v="2025-01-01"/>
  </r>
  <r>
    <n v="9"/>
    <x v="22"/>
    <x v="4"/>
    <s v="Segment profit - Asia and Oceania"/>
    <s v="FY20250331"/>
    <n v="4038"/>
    <s v="百万日元"/>
    <s v="260512_MIZUNO_FY25_Financial_result_ENG.pdf"/>
    <s v="16"/>
    <s v="Asia and Oceania Segment profit ¥4,038 million"/>
    <x v="1"/>
    <x v="3"/>
    <n v="193824"/>
    <s v="百万日元×1000×0.048=千元人民币"/>
    <s v="亚太区"/>
    <s v="2025-01-01"/>
  </r>
  <r>
    <n v="9"/>
    <x v="22"/>
    <x v="2"/>
    <s v="Net sales"/>
    <s v="FY20240331"/>
    <n v="229711"/>
    <s v="百万日元"/>
    <s v="260512_MIZUNO_FY25_Financial_result_ENG.pdf"/>
    <s v="17"/>
    <s v="Net sales ¥229,711 million"/>
    <x v="2"/>
    <x v="0"/>
    <n v="11026128"/>
    <s v="百万日元×1000×0.048=千元人民币"/>
    <s v="集团TOTAL"/>
    <s v="2025-01-01"/>
  </r>
  <r>
    <n v="9"/>
    <x v="22"/>
    <x v="2"/>
    <s v="Gross profit"/>
    <s v="FY20240331"/>
    <n v="90946"/>
    <s v="百万日元"/>
    <s v="260512_MIZUNO_FY25_Financial_result_ENG.pdf"/>
    <s v="17"/>
    <s v="Gross profit ¥93,049 million"/>
    <x v="2"/>
    <x v="1"/>
    <n v="4466352"/>
    <s v="百万日元×1000×0.048=千元人民币"/>
    <s v="集团TOTAL"/>
    <s v="2025-01-01"/>
  </r>
  <r>
    <n v="9"/>
    <x v="22"/>
    <x v="2"/>
    <s v="Gross margin"/>
    <s v="FY20240331"/>
    <n v="39.591486694150476"/>
    <s v="%"/>
    <s v="260512_MIZUNO_FY25_Financial_result_ENG.pdf"/>
    <s v="17"/>
    <s v="Gross margin 40.5%"/>
    <x v="2"/>
    <x v="2"/>
    <n v="40.5"/>
    <s v="百分比"/>
    <s v="集团TOTAL"/>
    <s v="2025-01-01"/>
  </r>
  <r>
    <n v="9"/>
    <x v="22"/>
    <x v="4"/>
    <s v="Net sales - Asia and Oceania"/>
    <s v="FY20240331"/>
    <n v="28845"/>
    <s v="百万日元"/>
    <s v="260512_MIZUNO_FY25_Financial_result_ENG.pdf"/>
    <s v="16"/>
    <s v="Asia and Oceania Net sales ¥28,845 million"/>
    <x v="2"/>
    <x v="0"/>
    <n v="1384560"/>
    <s v="百万日元×1000×0.048=千元人民币"/>
    <s v="亚太区"/>
    <s v="2025-01-01"/>
  </r>
  <r>
    <n v="9"/>
    <x v="22"/>
    <x v="4"/>
    <s v="Segment profit - Asia and Oceania"/>
    <s v="FY20240331"/>
    <n v="2282"/>
    <s v="百万日元"/>
    <s v="260512_MIZUNO_FY25_Financial_result_ENG.pdf"/>
    <s v="16"/>
    <s v="Asia and Oceania Segment profit ¥2,282 million"/>
    <x v="2"/>
    <x v="3"/>
    <n v="109536"/>
    <s v="百万日元×1000×0.048=千元人民币"/>
    <s v="亚太区"/>
    <s v="2025-01-01"/>
  </r>
  <r>
    <n v="11"/>
    <x v="9"/>
    <x v="4"/>
    <s v="Net sales - Asia Pacific"/>
    <s v="FY2025"/>
    <n v="19472389"/>
    <s v="千新台币元"/>
    <s v="Giant 2025_Annual_Report_EN.pdf"/>
    <n v="86"/>
    <s v="Asia Sales value 19,472,389 NTD thousands (FY2025, 32.32%)"/>
    <x v="0"/>
    <x v="0"/>
    <n v="4478649.47"/>
    <s v="千新台币元×0.23=千元人民币"/>
    <s v="亚太区"/>
    <s v="2026-06-04"/>
  </r>
  <r>
    <n v="11"/>
    <x v="9"/>
    <x v="4"/>
    <s v="Net sales - Asia Pacific"/>
    <s v="FY2024"/>
    <n v="30950178"/>
    <s v="千新台币元"/>
    <s v="Giant 2024_annual_report.pdf"/>
    <n v="93"/>
    <s v="Asia Sales value 30,950,178 NTD thousands (FY2024, 43.42%)"/>
    <x v="1"/>
    <x v="0"/>
    <n v="7118540.9400000004"/>
    <s v="千新台币元×0.23=千元人民币"/>
    <s v="亚太区"/>
    <s v="2026-06-04"/>
  </r>
  <r>
    <n v="13"/>
    <x v="12"/>
    <x v="4"/>
    <s v="Net sales - Asia Pacific"/>
    <s v="FY20260331"/>
    <n v="1403193"/>
    <s v="千美元"/>
    <s v="VF 2026 final Annual 10-K Wrap.pdf"/>
    <s v="F-19"/>
    <s v="Asia-Pacific Total $1,403,193 thousand (FY2026)"/>
    <x v="0"/>
    <x v="0"/>
    <n v="10102989.6"/>
    <s v="千美元×7.2=千元人民币"/>
    <s v="亚太区"/>
    <s v="2026-06-04"/>
  </r>
  <r>
    <n v="13"/>
    <x v="12"/>
    <x v="4"/>
    <s v="Net sales - Asia Pacific"/>
    <s v="FY20250331"/>
    <n v="1422705"/>
    <s v="千美元"/>
    <s v="VF 2026 final Annual 10-K Wrap.pdf"/>
    <s v="F-20"/>
    <s v="Asia-Pacific Total $1,422,705 thousand (FY2025)"/>
    <x v="1"/>
    <x v="0"/>
    <n v="10243476"/>
    <s v="千美元×7.2=千元人民币"/>
    <s v="亚太区"/>
    <s v="2026-06-04"/>
  </r>
  <r>
    <n v="13"/>
    <x v="12"/>
    <x v="4"/>
    <s v="Net sales - Asia Pacific"/>
    <s v="FY20240331"/>
    <n v="1403264"/>
    <s v="千美元"/>
    <s v="VF FY2024 Annual Report.pdf"/>
    <s v="F-20"/>
    <s v="Asia-Pacific Total $1,403,264 thousand (FY2024, = 2023年报)"/>
    <x v="2"/>
    <x v="0"/>
    <n v="10103500.800000001"/>
    <s v="千美元×7.2=千元人民币"/>
    <s v="亚太区"/>
    <s v="2026-06-04"/>
  </r>
  <r>
    <n v="19"/>
    <x v="23"/>
    <x v="1"/>
    <s v="Net sales - China"/>
    <s v="FY2025"/>
    <n v="2793000"/>
    <s v="千元人民币"/>
    <s v="奔赴自然招股书2025.pdf"/>
    <s v="215"/>
    <s v="收入由2023年的人民币908.1百万元增加至2024年的人民币1,766.1百万元，并进一步增加至2025年的人民币2,793.0百万元"/>
    <x v="0"/>
    <x v="0"/>
    <n v="2793000"/>
    <s v="千元人民币×1.0=千元人民币"/>
    <s v="大中华区"/>
    <s v="2026-06-05"/>
  </r>
  <r>
    <n v="19"/>
    <x v="23"/>
    <x v="1"/>
    <s v="Net sales - China"/>
    <s v="FY2024"/>
    <n v="1766100"/>
    <s v="千元人民币"/>
    <s v="奔赴自然招股书2025.pdf"/>
    <s v="215"/>
    <s v="收入由2023年的人民币908.1百万元增加至2024年的人民币1,766.1百万元"/>
    <x v="1"/>
    <x v="0"/>
    <n v="1766100"/>
    <s v="千元人民币×1.0=千元人民币"/>
    <s v="大中华区"/>
    <s v="2026-06-05"/>
  </r>
  <r>
    <n v="19"/>
    <x v="23"/>
    <x v="1"/>
    <s v="Net sales - China"/>
    <s v="FY2023"/>
    <n v="908100"/>
    <s v="千元人民币"/>
    <s v="奔赴自然招股书2025.pdf"/>
    <s v="215"/>
    <s v="收入由2023年的人民币908.1百万元"/>
    <x v="2"/>
    <x v="0"/>
    <n v="908100"/>
    <s v="千元人民币×1.0=千元人民币"/>
    <s v="大中华区"/>
    <s v="2026-06-05"/>
  </r>
  <r>
    <n v="11"/>
    <x v="9"/>
    <x v="4"/>
    <s v="Net sales - Asia Pacific"/>
    <s v="FY2023"/>
    <n v="28802022"/>
    <s v="千新台币元"/>
    <s v="Giant 2023 annual report.pdf"/>
    <n v="106"/>
    <s v="Asia Sales 28,802,022 NTD thousands (FY2023, 37.43%)"/>
    <x v="2"/>
    <x v="0"/>
    <n v="6624465.0600000015"/>
    <s v="千新台币元×0.23=千元人民币"/>
    <s v="亚太区"/>
    <s v="2026-06-05"/>
  </r>
  <r>
    <n v="16"/>
    <x v="14"/>
    <x v="0"/>
    <s v="收入"/>
    <s v="FY2025"/>
    <n v="11145829"/>
    <s v="千元"/>
    <s v="361度：二零二五年年报.pdf"/>
    <n v="8"/>
    <s v="收益 11,145,829千元"/>
    <x v="0"/>
    <x v="0"/>
    <n v="11145829"/>
    <s v="年报五年财务概要直接提取"/>
    <s v="集团层面TOTAL"/>
    <d v="2026-06-05T00:00:00"/>
  </r>
  <r>
    <n v="16"/>
    <x v="14"/>
    <x v="6"/>
    <s v="毛利"/>
    <s v="FY2025"/>
    <n v="4628536"/>
    <s v="千元"/>
    <s v="361度：二零二五年年报.pdf"/>
    <n v="8"/>
    <s v="毛利 4,628,536千元"/>
    <x v="0"/>
    <x v="1"/>
    <n v="4628536"/>
    <s v="年报五年财务概要直接提取"/>
    <s v="集团层面TOTAL"/>
    <d v="2026-06-05T00:00:00"/>
  </r>
  <r>
    <n v="16"/>
    <x v="14"/>
    <x v="6"/>
    <s v="毛利率"/>
    <s v="FY2025"/>
    <n v="41.5"/>
    <s v="%"/>
    <s v="361度：二零二五年年报.pdf"/>
    <n v="8"/>
    <s v="毛利率 41.5%"/>
    <x v="0"/>
    <x v="2"/>
    <n v="41.5"/>
    <s v="年报五年财务概要直接提取"/>
    <s v="集团层面TOTAL"/>
    <d v="2026-06-05T00:00:00"/>
  </r>
  <r>
    <n v="16"/>
    <x v="14"/>
    <x v="6"/>
    <s v="净利率"/>
    <s v="FY2025"/>
    <n v="11.7"/>
    <s v="%"/>
    <s v="361度：二零二五年年报.pdf"/>
    <n v="8"/>
    <s v="权益持有人应占溢利率 11.7%"/>
    <x v="0"/>
    <x v="4"/>
    <n v="11.7"/>
    <s v="年报五年财务概要直接提取"/>
    <s v="集团层面TOTAL"/>
    <d v="2026-06-05T00:00:00"/>
  </r>
  <r>
    <n v="16"/>
    <x v="14"/>
    <x v="6"/>
    <s v="SG&amp;A expenses ratio"/>
    <s v="FY2025"/>
    <n v="22.3"/>
    <s v="%"/>
    <s v="361度：二零二五年年报.pdf"/>
    <n v="9"/>
    <s v="广告10.5%+员工8.4%+研发3.4%=22.3%"/>
    <x v="0"/>
    <x v="10"/>
    <n v="22.3"/>
    <s v="费用合计/收入: 广告10.5%+员工8.4%+研发3.4%=22.3%"/>
    <s v="集团层面TOTAL"/>
    <d v="2026-06-05T00:00:00"/>
  </r>
  <r>
    <n v="16"/>
    <x v="14"/>
    <x v="0"/>
    <s v="收入"/>
    <s v="FY2024"/>
    <n v="10073510"/>
    <s v="千元"/>
    <s v="361度：二零二五年年报.pdf"/>
    <n v="8"/>
    <s v="收益 10,073,510千元"/>
    <x v="1"/>
    <x v="0"/>
    <n v="10073510"/>
    <s v="年报五年财务概要直接提取"/>
    <s v="集团层面TOTAL"/>
    <d v="2026-06-05T00:00:00"/>
  </r>
  <r>
    <n v="16"/>
    <x v="14"/>
    <x v="6"/>
    <s v="毛利"/>
    <s v="FY2024"/>
    <n v="4183292"/>
    <s v="千元"/>
    <s v="361度：二零二五年年报.pdf"/>
    <n v="8"/>
    <s v="毛利 4,183,292千元"/>
    <x v="1"/>
    <x v="1"/>
    <n v="4183292"/>
    <s v="年报五年财务概要直接提取"/>
    <s v="集团层面TOTAL"/>
    <d v="2026-06-05T00:00:00"/>
  </r>
  <r>
    <n v="16"/>
    <x v="14"/>
    <x v="6"/>
    <s v="毛利率"/>
    <s v="FY2024"/>
    <n v="41.5"/>
    <s v="%"/>
    <s v="361度：二零二五年年报.pdf"/>
    <n v="8"/>
    <s v="毛利率 41.5%"/>
    <x v="1"/>
    <x v="2"/>
    <n v="41.5"/>
    <s v="年报五年财务概要直接提取"/>
    <s v="集团层面TOTAL"/>
    <d v="2026-06-05T00:00:00"/>
  </r>
  <r>
    <n v="16"/>
    <x v="14"/>
    <x v="6"/>
    <s v="净利率"/>
    <s v="FY2024"/>
    <n v="11.4"/>
    <s v="%"/>
    <s v="361度：二零二五年年报.pdf"/>
    <n v="8"/>
    <s v="权益持有人应占溢利率 11.4%"/>
    <x v="1"/>
    <x v="4"/>
    <n v="11.4"/>
    <s v="年报五年财务概要直接提取"/>
    <s v="集团层面TOTAL"/>
    <d v="2026-06-05T00:00:00"/>
  </r>
  <r>
    <n v="16"/>
    <x v="14"/>
    <x v="6"/>
    <s v="SG&amp;A expenses ratio"/>
    <s v="FY2024"/>
    <n v="24.7"/>
    <s v="%"/>
    <s v="361度：二零二五年年报.pdf"/>
    <n v="9"/>
    <s v="广告12.8%+员工8.5%+研发3.4%=24.7%"/>
    <x v="1"/>
    <x v="10"/>
    <n v="24.7"/>
    <s v="费用合计/收入: 广告12.8%+员工8.5%+研发3.4%=24.7%"/>
    <s v="集团层面TOTAL"/>
    <d v="2026-06-05T00:00:00"/>
  </r>
  <r>
    <n v="16"/>
    <x v="14"/>
    <x v="0"/>
    <s v="收入"/>
    <s v="FY2023"/>
    <n v="8423257"/>
    <s v="千元"/>
    <s v="361度：二零二五年年报.pdf"/>
    <n v="8"/>
    <s v="收益 8,423,257千元"/>
    <x v="2"/>
    <x v="0"/>
    <n v="8423257"/>
    <s v="年报五年财务概要直接提取"/>
    <s v="集团层面TOTAL"/>
    <d v="2026-06-05T00:00:00"/>
  </r>
  <r>
    <n v="16"/>
    <x v="14"/>
    <x v="6"/>
    <s v="毛利"/>
    <s v="FY2023"/>
    <n v="3462155"/>
    <s v="千元"/>
    <s v="361度：二零二五年年报.pdf"/>
    <n v="8"/>
    <s v="毛利 3,462,155千元"/>
    <x v="2"/>
    <x v="1"/>
    <n v="3462155"/>
    <s v="年报五年财务概要直接提取"/>
    <s v="集团层面TOTAL"/>
    <d v="2026-06-05T00:00:00"/>
  </r>
  <r>
    <n v="16"/>
    <x v="14"/>
    <x v="6"/>
    <s v="毛利率"/>
    <s v="FY2023"/>
    <n v="41.1"/>
    <s v="%"/>
    <s v="361度：二零二五年年报.pdf"/>
    <n v="8"/>
    <s v="毛利率 41.1%"/>
    <x v="2"/>
    <x v="2"/>
    <n v="41.1"/>
    <s v="年报五年财务概要直接提取"/>
    <s v="集团层面TOTAL"/>
    <d v="2026-06-05T00:00:00"/>
  </r>
  <r>
    <n v="16"/>
    <x v="14"/>
    <x v="6"/>
    <s v="净利率"/>
    <s v="FY2023"/>
    <n v="11.4"/>
    <s v="%"/>
    <s v="361度：二零二五年年报.pdf"/>
    <n v="8"/>
    <s v="权益持有人应占溢利率 11.4%"/>
    <x v="2"/>
    <x v="4"/>
    <n v="11.4"/>
    <s v="年报五年财务概要直接提取"/>
    <s v="集团层面TOTAL"/>
    <d v="2026-06-05T00:00:00"/>
  </r>
  <r>
    <n v="16"/>
    <x v="14"/>
    <x v="6"/>
    <s v="SG&amp;A expenses ratio"/>
    <s v="FY2023"/>
    <n v="25.6"/>
    <s v="%"/>
    <s v="361度：二零二五年年报.pdf"/>
    <n v="9"/>
    <s v="广告12.7%+员工9.2%+研发3.7%=25.6%"/>
    <x v="2"/>
    <x v="10"/>
    <n v="25.6"/>
    <s v="费用合计/收入: 广告12.7%+员工9.2%+研发3.7%=25.6%"/>
    <s v="集团层面TOTAL"/>
    <d v="2026-06-05T00:00:00"/>
  </r>
  <r>
    <n v="23"/>
    <x v="10"/>
    <x v="3"/>
    <s v="营业收入"/>
    <s v="FY2025"/>
    <n v="1012027"/>
    <s v="千元"/>
    <s v="牧高笛2025年报.pdf"/>
    <n v="4"/>
    <s v="营业收入 1,012,027千元"/>
    <x v="0"/>
    <x v="0"/>
    <n v="1012027"/>
    <s v="年报主要会计数据直接提取"/>
    <s v="集团层面TOTAL"/>
    <d v="2026-06-05T00:00:00"/>
  </r>
  <r>
    <n v="23"/>
    <x v="10"/>
    <x v="3"/>
    <s v="毛利"/>
    <s v="FY2025"/>
    <n v="289504"/>
    <s v="千元"/>
    <s v="牧高笛2025年报.pdf"/>
    <n v="9"/>
    <s v="毛利润 289,504千元"/>
    <x v="0"/>
    <x v="1"/>
    <n v="289504"/>
    <s v="营业收入-营业成本"/>
    <s v="集团层面TOTAL"/>
    <d v="2026-06-05T00:00:00"/>
  </r>
  <r>
    <n v="23"/>
    <x v="10"/>
    <x v="2"/>
    <s v="毛利率"/>
    <s v="FY2025"/>
    <n v="28.61"/>
    <s v="%"/>
    <s v="牧高笛2025年报.pdf"/>
    <n v="9"/>
    <s v="毛利率 28.61%"/>
    <x v="0"/>
    <x v="2"/>
    <n v="28.61"/>
    <s v="毛利润/营业收入"/>
    <s v="集团层面TOTAL"/>
    <d v="2026-06-05T00:00:00"/>
  </r>
  <r>
    <n v="23"/>
    <x v="10"/>
    <x v="2"/>
    <s v="净利率"/>
    <s v="FY2025"/>
    <n v="-3.38"/>
    <s v="%"/>
    <s v="牧高笛2025年报.pdf"/>
    <n v="4"/>
    <s v="归母净利润 -34,188千元"/>
    <x v="0"/>
    <x v="4"/>
    <n v="-3.38"/>
    <s v="归母净利润/营业收入"/>
    <s v="集团层面TOTAL"/>
    <d v="2026-06-05T00:00:00"/>
  </r>
  <r>
    <n v="23"/>
    <x v="10"/>
    <x v="2"/>
    <s v="运营费用率"/>
    <s v="FY2025"/>
    <n v="25.68"/>
    <s v="%"/>
    <s v="牧高笛2025年报.pdf"/>
    <n v="10"/>
    <s v="费用合计260,818千元/收入1,012,027千元"/>
    <x v="0"/>
    <x v="10"/>
    <n v="25.68"/>
    <s v="费用/收入 (销售+管理+研发+财务)"/>
    <s v="集团层面TOTAL"/>
    <d v="2026-06-05T00:00:00"/>
  </r>
  <r>
    <n v="23"/>
    <x v="10"/>
    <x v="3"/>
    <s v="营业收入"/>
    <s v="FY2025"/>
    <n v="563907"/>
    <s v="千元"/>
    <s v="牧高笛2025年报.pdf"/>
    <n v="9"/>
    <s v="境内收入 563,907千元"/>
    <x v="0"/>
    <x v="0"/>
    <n v="563907"/>
    <s v="主营业务分地区表"/>
    <s v="境内业务"/>
    <d v="2026-06-05T00:00:00"/>
  </r>
  <r>
    <n v="23"/>
    <x v="10"/>
    <x v="3"/>
    <s v="毛利率"/>
    <s v="FY2025"/>
    <n v="26.62"/>
    <s v="%"/>
    <s v="牧高笛2025年报.pdf"/>
    <n v="9"/>
    <s v="境内毛利率 26.62%"/>
    <x v="0"/>
    <x v="2"/>
    <n v="26.62"/>
    <s v="境内毛利润/境内收入"/>
    <s v="境内业务"/>
    <d v="2026-06-05T00:00:00"/>
  </r>
  <r>
    <n v="23"/>
    <x v="10"/>
    <x v="7"/>
    <s v="营业收入"/>
    <s v="FY2025"/>
    <n v="448120"/>
    <s v="千元"/>
    <s v="牧高笛2025年报.pdf"/>
    <n v="9"/>
    <s v="境外收入 448,120千元"/>
    <x v="0"/>
    <x v="0"/>
    <n v="448120"/>
    <s v="主营业务分地区表 (境外含OEM/ODM)"/>
    <s v="境外业务"/>
    <d v="2026-06-05T00:00:00"/>
  </r>
  <r>
    <n v="23"/>
    <x v="10"/>
    <x v="2"/>
    <s v="营业收入"/>
    <s v="FY2024"/>
    <n v="1304208"/>
    <s v="千元"/>
    <s v="牧高笛2024年报.pdf"/>
    <n v="4"/>
    <s v="营业收入 1,304,208千元"/>
    <x v="1"/>
    <x v="0"/>
    <n v="1304208"/>
    <s v="年报主要会计数据直接提取"/>
    <s v="集团层面TOTAL"/>
    <d v="2026-06-05T00:00:00"/>
  </r>
  <r>
    <n v="23"/>
    <x v="10"/>
    <x v="2"/>
    <s v="毛利"/>
    <s v="FY2024"/>
    <n v="371382"/>
    <s v="千元"/>
    <s v="牧高笛2024年报.pdf"/>
    <n v="8"/>
    <s v="毛利润 371,382千元"/>
    <x v="1"/>
    <x v="1"/>
    <n v="371382"/>
    <s v="营业收入-营业成本"/>
    <s v="集团层面TOTAL"/>
    <d v="2026-06-05T00:00:00"/>
  </r>
  <r>
    <n v="23"/>
    <x v="10"/>
    <x v="2"/>
    <s v="毛利率"/>
    <s v="FY2024"/>
    <n v="28.48"/>
    <s v="%"/>
    <s v="牧高笛2024年报.pdf"/>
    <n v="8"/>
    <s v="毛利率 28.48%"/>
    <x v="1"/>
    <x v="2"/>
    <n v="28.48"/>
    <s v="毛利润/营业收入"/>
    <s v="集团层面TOTAL"/>
    <d v="2026-06-05T00:00:00"/>
  </r>
  <r>
    <n v="23"/>
    <x v="10"/>
    <x v="2"/>
    <s v="净利率"/>
    <s v="FY2024"/>
    <n v="6.42"/>
    <s v="%"/>
    <s v="牧高笛2024年报.pdf"/>
    <n v="4"/>
    <s v="归母净利润 83,762千元"/>
    <x v="1"/>
    <x v="4"/>
    <n v="6.42"/>
    <s v="归母净利润/营业收入"/>
    <s v="集团层面TOTAL"/>
    <d v="2026-06-05T00:00:00"/>
  </r>
  <r>
    <n v="23"/>
    <x v="10"/>
    <x v="2"/>
    <s v="运营费用率"/>
    <s v="FY2024"/>
    <n v="20.329999999999998"/>
    <s v="%"/>
    <s v="牧高笛2024年报.pdf"/>
    <n v="8"/>
    <s v="费用合计265,164千元/收入1,304,208千元"/>
    <x v="1"/>
    <x v="10"/>
    <n v="20.329999999999998"/>
    <s v="费用/收入"/>
    <s v="集团层面TOTAL"/>
    <d v="2026-06-05T00:00:00"/>
  </r>
  <r>
    <n v="23"/>
    <x v="10"/>
    <x v="3"/>
    <s v="营业收入"/>
    <s v="FY2024"/>
    <n v="760522"/>
    <s v="千元"/>
    <s v="牧高笛2024年报.pdf"/>
    <n v="8"/>
    <s v="境内收入 760,522千元"/>
    <x v="1"/>
    <x v="0"/>
    <n v="760522"/>
    <s v="主营业务分地区表"/>
    <s v="境内业务"/>
    <d v="2026-06-05T00:00:00"/>
  </r>
  <r>
    <n v="23"/>
    <x v="10"/>
    <x v="3"/>
    <s v="毛利率"/>
    <s v="FY2024"/>
    <n v="28.57"/>
    <s v="%"/>
    <s v="牧高笛2024年报.pdf"/>
    <n v="8"/>
    <s v="境内毛利率 28.57%"/>
    <x v="1"/>
    <x v="2"/>
    <n v="28.57"/>
    <s v="境内毛利润/境内收入"/>
    <s v="境内业务"/>
    <d v="2026-06-05T00:00:00"/>
  </r>
  <r>
    <n v="23"/>
    <x v="10"/>
    <x v="7"/>
    <s v="营业收入"/>
    <s v="FY2024"/>
    <n v="542269"/>
    <s v="千元"/>
    <s v="牧高笛2024年报.pdf"/>
    <n v="8"/>
    <s v="境外收入 542,269千元"/>
    <x v="1"/>
    <x v="0"/>
    <n v="542269"/>
    <s v="主营业务分地区表 (境外含OEM/ODM)"/>
    <s v="境外业务"/>
    <d v="2026-06-05T00:00:00"/>
  </r>
  <r>
    <n v="23"/>
    <x v="10"/>
    <x v="2"/>
    <s v="营业收入"/>
    <s v="FY2023"/>
    <n v="1455870"/>
    <s v="千元"/>
    <s v="牧高笛2025年报.pdf"/>
    <n v="4"/>
    <s v="营业收入 1,455,870千元"/>
    <x v="2"/>
    <x v="0"/>
    <n v="1455870"/>
    <s v="年报三年数据表"/>
    <s v="集团层面TOTAL"/>
    <d v="2026-06-05T00:00:00"/>
  </r>
  <r>
    <n v="23"/>
    <x v="10"/>
    <x v="2"/>
    <s v="净利率"/>
    <s v="FY2023"/>
    <n v="7.33"/>
    <s v="%"/>
    <s v="牧高笛2025年报.pdf"/>
    <n v="4"/>
    <s v="归母净利润 106,797千元"/>
    <x v="2"/>
    <x v="4"/>
    <n v="7.33"/>
    <s v="归母净利润/营业收入"/>
    <s v="集团层面TOTAL"/>
    <d v="2026-06-05T00:00:00"/>
  </r>
  <r>
    <n v="23"/>
    <x v="10"/>
    <x v="2"/>
    <s v="毛利率"/>
    <s v="FY2023"/>
    <n v="28.3"/>
    <s v="%"/>
    <s v="牧高笛2024年报.pdf"/>
    <n v="8"/>
    <s v="毛利率趋势推算"/>
    <x v="2"/>
    <x v="2"/>
    <n v="28.3"/>
    <s v="年报未直接披露，根据FY2024(28.48%)/FY2025(28.61%)趋势推算"/>
    <s v="集团层面TOTAL [注:FY2023年报未直接披露,根据趋势推算]"/>
    <d v="2026-06-05T00:00:00"/>
  </r>
  <r>
    <n v="23"/>
    <x v="10"/>
    <x v="3"/>
    <s v="营业收入"/>
    <s v="FY2023"/>
    <m/>
    <s v="千元"/>
    <s v="牧高笛2025年报.pdf"/>
    <s v="-"/>
    <s v="年报未披露"/>
    <x v="2"/>
    <x v="0"/>
    <m/>
    <s v="年报未披露分地区数据"/>
    <s v="境内业务 [年报未披露]"/>
    <d v="2026-06-05T00:00:00"/>
  </r>
  <r>
    <n v="11"/>
    <x v="9"/>
    <x v="2"/>
    <s v="营业收入"/>
    <s v="FY2025"/>
    <n v="60253963"/>
    <s v="千元TWD"/>
    <s v="Giant 2025_Annual_Report_EN.pdf"/>
    <s v="103-109"/>
    <s v="Net sales revenue: 60,253,963 NT$ thousands"/>
    <x v="0"/>
    <x v="0"/>
    <n v="14460951.119999999"/>
    <s v="60,253,963.0 × 0.24 = 14,460,951.12 千元RMB"/>
    <s v="集团TOTAL"/>
    <d v="2026-06-05T00:00:00"/>
  </r>
  <r>
    <n v="11"/>
    <x v="9"/>
    <x v="2"/>
    <s v="毛利润"/>
    <s v="FY2025"/>
    <n v="11937250"/>
    <s v="千元TWD"/>
    <s v="Giant 2025_Annual_Report_EN.pdf"/>
    <s v="103-109"/>
    <s v="Gross profit: 11,937,250 NT$ thousands"/>
    <x v="0"/>
    <x v="1"/>
    <n v="2864940"/>
    <s v="11,937,250.0 × 0.24 = 2,864,940.00 千元RMB"/>
    <s v="集团TOTAL"/>
    <d v="2026-06-05T00:00:00"/>
  </r>
  <r>
    <n v="11"/>
    <x v="9"/>
    <x v="2"/>
    <s v="毛利率"/>
    <s v="FY2025"/>
    <n v="19.809999999999999"/>
    <s v="%"/>
    <s v="Giant 2025_Annual_Report_EN.pdf"/>
    <s v="103-109"/>
    <s v="Gross margin 19.81% (计算: 11,937,250/60,253,963)"/>
    <x v="0"/>
    <x v="2"/>
    <n v="19.809999999999999"/>
    <s v="19.81% (百分比指标，无需货币换算)"/>
    <s v="集团TOTAL"/>
    <d v="2026-06-05T00:00:00"/>
  </r>
  <r>
    <n v="11"/>
    <x v="9"/>
    <x v="2"/>
    <s v="运营费用"/>
    <s v="FY2025"/>
    <n v="10856096"/>
    <s v="千元TWD"/>
    <s v="Giant 2025_Annual_Report_EN.pdf"/>
    <s v="103-109"/>
    <s v="Operating expenses: 10,856,096 NT$ thousands"/>
    <x v="0"/>
    <x v="13"/>
    <n v="2605463.04"/>
    <s v="10,856,096.0 × 0.24 = 2,605,463.04 千元RMB"/>
    <s v="集团TOTAL"/>
    <d v="2026-06-05T00:00:00"/>
  </r>
  <r>
    <n v="11"/>
    <x v="9"/>
    <x v="2"/>
    <s v="营业利润"/>
    <s v="FY2025"/>
    <n v="1081154"/>
    <s v="千元TWD"/>
    <s v="Giant 2025_Annual_Report_EN.pdf"/>
    <s v="103-109"/>
    <s v="Profit from operations: 1,081,154 NT$ thousands"/>
    <x v="0"/>
    <x v="3"/>
    <n v="259476.96"/>
    <s v="1,081,154.0 × 0.24 = 259,476.96 千元RMB"/>
    <s v="集团TOTAL"/>
    <d v="2026-06-05T00:00:00"/>
  </r>
  <r>
    <n v="11"/>
    <x v="9"/>
    <x v="2"/>
    <s v="净利润"/>
    <s v="FY2025"/>
    <n v="866402"/>
    <s v="千元TWD"/>
    <s v="Giant 2025_Annual_Report_EN.pdf"/>
    <s v="103-109"/>
    <s v="Net profit: 866,402 NT$ thousands"/>
    <x v="0"/>
    <x v="6"/>
    <n v="207936.48"/>
    <s v="866,402.0 × 0.24 = 207,936.48 千元RMB"/>
    <s v="集团TOTAL"/>
    <d v="2026-06-05T00:00:00"/>
  </r>
  <r>
    <n v="11"/>
    <x v="9"/>
    <x v="2"/>
    <s v="净利率"/>
    <s v="FY2025"/>
    <n v="1.44"/>
    <s v="%"/>
    <s v="Giant 2025_Annual_Report_EN.pdf"/>
    <s v="103-109"/>
    <s v="Net margin 1.44% (计算: 866,402/60,253,963)"/>
    <x v="0"/>
    <x v="4"/>
    <n v="1.44"/>
    <s v="1.44% (百分比指标，无需货币换算)"/>
    <s v="集团TOTAL"/>
    <d v="2026-06-05T00:00:00"/>
  </r>
  <r>
    <n v="11"/>
    <x v="9"/>
    <x v="2"/>
    <s v="营业收入"/>
    <s v="FY2024"/>
    <n v="71278772"/>
    <s v="千元TWD"/>
    <s v="Giant 2024_annual_report.pdf"/>
    <s v="106-111"/>
    <s v="Net operating revenues: 71,278,772 NT$ thousands"/>
    <x v="1"/>
    <x v="0"/>
    <n v="16394117.560000001"/>
    <s v="71,278,772.0 × 0.23 = 16,394,117.56 千元RMB"/>
    <s v="集团TOTAL"/>
    <d v="2026-06-05T00:00:00"/>
  </r>
  <r>
    <n v="11"/>
    <x v="9"/>
    <x v="2"/>
    <s v="毛利润"/>
    <s v="FY2024"/>
    <n v="13534038"/>
    <s v="千元TWD"/>
    <s v="Giant 2024_annual_report.pdf"/>
    <s v="106-111"/>
    <s v="Gross profit: 13,534,038 NT$ thousands"/>
    <x v="1"/>
    <x v="1"/>
    <n v="3112828.74"/>
    <s v="13,534,038.0 × 0.23 = 3,112,828.74 千元RMB"/>
    <s v="集团TOTAL"/>
    <d v="2026-06-05T00:00:00"/>
  </r>
  <r>
    <n v="11"/>
    <x v="9"/>
    <x v="2"/>
    <s v="毛利率"/>
    <s v="FY2024"/>
    <n v="18.989999999999998"/>
    <s v="%"/>
    <s v="Giant 2024_annual_report.pdf"/>
    <s v="106-111"/>
    <s v="Gross margin 18.99%"/>
    <x v="1"/>
    <x v="2"/>
    <n v="18.989999999999998"/>
    <s v="18.99% (百分比指标，无需货币换算)"/>
    <s v="集团TOTAL"/>
    <d v="2026-06-05T00:00:00"/>
  </r>
  <r>
    <n v="11"/>
    <x v="9"/>
    <x v="2"/>
    <s v="运营费用"/>
    <s v="FY2024"/>
    <n v="11675553"/>
    <s v="千元TWD"/>
    <s v="Giant 2024_annual_report.pdf"/>
    <s v="106-111"/>
    <s v="Operating expenses: 11,675,553 NT$ thousands"/>
    <x v="1"/>
    <x v="13"/>
    <n v="2685377.19"/>
    <s v="11,675,553.0 × 0.23 = 2,685,377.19 千元RMB"/>
    <s v="集团TOTAL"/>
    <d v="2026-06-05T00:00:00"/>
  </r>
  <r>
    <n v="11"/>
    <x v="9"/>
    <x v="2"/>
    <s v="营业利润"/>
    <s v="FY2024"/>
    <n v="1858485"/>
    <s v="千元TWD"/>
    <s v="Giant 2024_annual_report.pdf"/>
    <s v="106-111"/>
    <s v="Operating profit: 1,858,485 NT$ thousands"/>
    <x v="1"/>
    <x v="3"/>
    <n v="427451.55"/>
    <s v="1,858,485.0 × 0.23 = 427,451.55 千元RMB"/>
    <s v="集团TOTAL"/>
    <d v="2026-06-05T00:00:00"/>
  </r>
  <r>
    <n v="11"/>
    <x v="9"/>
    <x v="2"/>
    <s v="净利润"/>
    <s v="FY2024"/>
    <n v="1480104"/>
    <s v="千元TWD"/>
    <s v="Giant 2024_annual_report.pdf"/>
    <s v="106-111"/>
    <s v="Net income: 1,480,104 NT$ thousands"/>
    <x v="1"/>
    <x v="6"/>
    <n v="340423.92"/>
    <s v="1,480,104.0 × 0.23 = 340,423.92 千元RMB"/>
    <s v="集团TOTAL"/>
    <d v="2026-06-05T00:00:00"/>
  </r>
  <r>
    <n v="11"/>
    <x v="9"/>
    <x v="2"/>
    <s v="净利率"/>
    <s v="FY2024"/>
    <n v="2.08"/>
    <s v="%"/>
    <s v="Giant 2024_annual_report.pdf"/>
    <s v="106-111"/>
    <s v="Net margin 2.08%"/>
    <x v="1"/>
    <x v="4"/>
    <n v="2.08"/>
    <s v="2.08% (百分比指标，无需货币换算)"/>
    <s v="集团TOTAL"/>
    <d v="2026-06-05T00:00:00"/>
  </r>
  <r>
    <n v="11"/>
    <x v="9"/>
    <x v="2"/>
    <s v="营业收入"/>
    <s v="FY2023"/>
    <n v="76953546"/>
    <s v="千元TWD"/>
    <s v="Giant 2024_annual_report.pdf"/>
    <s v="106-111"/>
    <s v="Net operating revenues: 76,953,546 NT$ thousands"/>
    <x v="2"/>
    <x v="0"/>
    <n v="16929780.120000001"/>
    <s v="76,953,546.0 × 0.22 = 16,929,780.12 千元RMB"/>
    <s v="集团TOTAL"/>
    <d v="2026-06-05T00:00:00"/>
  </r>
  <r>
    <n v="11"/>
    <x v="9"/>
    <x v="2"/>
    <s v="毛利润"/>
    <s v="FY2023"/>
    <n v="16973293"/>
    <s v="千元TWD"/>
    <s v="Giant 2024_annual_report.pdf"/>
    <s v="106-111"/>
    <s v="Gross profit: 16,973,293 NT$ thousands"/>
    <x v="2"/>
    <x v="1"/>
    <n v="3734124.46"/>
    <s v="16,973,293.0 × 0.22 = 3,734,124.46 千元RMB"/>
    <s v="集团TOTAL"/>
    <d v="2026-06-05T00:00:00"/>
  </r>
  <r>
    <n v="11"/>
    <x v="9"/>
    <x v="2"/>
    <s v="毛利率"/>
    <s v="FY2023"/>
    <n v="22.06"/>
    <s v="%"/>
    <s v="Giant 2024_annual_report.pdf"/>
    <s v="106-111"/>
    <s v="Gross margin 22.06%"/>
    <x v="2"/>
    <x v="2"/>
    <n v="22.06"/>
    <s v="22.06% (百分比指标，无需货币换算)"/>
    <s v="集团TOTAL"/>
    <d v="2026-06-05T00:00:00"/>
  </r>
  <r>
    <n v="11"/>
    <x v="9"/>
    <x v="2"/>
    <s v="运营费用"/>
    <s v="FY2023"/>
    <n v="12263973"/>
    <s v="千元TWD"/>
    <s v="Giant 2024_annual_report.pdf"/>
    <s v="106-111"/>
    <s v="Operating expenses: 12,263,973 NT$ thousands"/>
    <x v="2"/>
    <x v="13"/>
    <n v="2698074.06"/>
    <s v="12,263,973.0 × 0.22 = 2,698,074.06 千元RMB"/>
    <s v="集团TOTAL"/>
    <d v="2026-06-05T00:00:00"/>
  </r>
  <r>
    <n v="11"/>
    <x v="9"/>
    <x v="2"/>
    <s v="营业利润"/>
    <s v="FY2023"/>
    <n v="4709320"/>
    <s v="千元TWD"/>
    <s v="Giant 2024_annual_report.pdf"/>
    <s v="106-111"/>
    <s v="Operating profit: 4,709,320 NT$ thousands"/>
    <x v="2"/>
    <x v="3"/>
    <n v="1036050.4"/>
    <s v="4,709,320.0 × 0.22 = 1,036,050.40 千元RMB"/>
    <s v="集团TOTAL"/>
    <d v="2026-06-05T00:00:00"/>
  </r>
  <r>
    <n v="11"/>
    <x v="9"/>
    <x v="2"/>
    <s v="净利润"/>
    <s v="FY2023"/>
    <n v="3566392"/>
    <s v="千元TWD"/>
    <s v="Giant 2024_annual_report.pdf"/>
    <s v="106-111"/>
    <s v="Net income: 3,566,392 NT$ thousands"/>
    <x v="2"/>
    <x v="6"/>
    <n v="784606.24"/>
    <s v="3,566,392.0 × 0.22 = 784,606.24 千元RMB"/>
    <s v="集团TOTAL"/>
    <d v="2026-06-05T00:00:00"/>
  </r>
  <r>
    <n v="11"/>
    <x v="9"/>
    <x v="2"/>
    <s v="净利率"/>
    <s v="FY2023"/>
    <n v="4.63"/>
    <s v="%"/>
    <s v="Giant 2024_annual_report.pdf"/>
    <s v="106-111"/>
    <s v="Net margin 4.63%"/>
    <x v="2"/>
    <x v="4"/>
    <n v="4.63"/>
    <s v="4.63% (百分比指标，无需货币换算)"/>
    <s v="集团TOTAL"/>
    <d v="2026-06-05T00:00:00"/>
  </r>
  <r>
    <n v="18"/>
    <x v="0"/>
    <x v="0"/>
    <s v="经营利润率"/>
    <s v="FY2025"/>
    <n v="23.79860133"/>
    <s v="%"/>
    <s v="计算得出（经营利润/营业收入）"/>
    <m/>
    <m/>
    <x v="0"/>
    <x v="5"/>
    <n v="23.79860133"/>
    <s v="经营利润率: 23.8% = 经营利润19091000 / 营业收入80219000"/>
    <m/>
    <d v="2026-06-05T00:00:00"/>
  </r>
  <r>
    <n v="18"/>
    <x v="0"/>
    <x v="0"/>
    <s v="经营利润率"/>
    <s v="FY2024"/>
    <n v="23.430661059999998"/>
    <s v="%"/>
    <s v="计算得出（经营利润/营业收入）"/>
    <m/>
    <m/>
    <x v="1"/>
    <x v="5"/>
    <n v="23.430661059999998"/>
    <s v="经营利润率: 23.4% = 经营利润16595000 / 营业收入70826000"/>
    <m/>
    <d v="2026-06-05T00:00:00"/>
  </r>
  <r>
    <n v="18"/>
    <x v="0"/>
    <x v="0"/>
    <s v="经营利润率"/>
    <s v="FY2023"/>
    <n v="24.643979730000002"/>
    <s v="%"/>
    <s v="计算得出（经营利润/营业收入）"/>
    <m/>
    <m/>
    <x v="2"/>
    <x v="5"/>
    <n v="24.643979730000002"/>
    <s v="经营利润率: 24.6% = 经营利润15367000 / 营业收入62356000"/>
    <m/>
    <d v="2026-06-05T00:00:00"/>
  </r>
  <r>
    <n v="9"/>
    <x v="22"/>
    <x v="4"/>
    <s v="经营利润率"/>
    <s v="FY20260331"/>
    <n v="10.084580351333768"/>
    <s v="%"/>
    <s v="计算得出（经营利润/营业收入）"/>
    <m/>
    <m/>
    <x v="0"/>
    <x v="5"/>
    <n v="10.084580351333768"/>
    <s v="计算得出（经营利润/营业收入）"/>
    <m/>
    <d v="2026-06-05T00:00:00"/>
  </r>
  <r>
    <n v="9"/>
    <x v="22"/>
    <x v="4"/>
    <s v="经营利润率"/>
    <s v="FY20250331"/>
    <n v="12.121030197514559"/>
    <s v="%"/>
    <s v="计算得出（经营利润/营业收入）"/>
    <m/>
    <m/>
    <x v="1"/>
    <x v="5"/>
    <n v="12.121030197514559"/>
    <s v="计算得出（经营利润/营业收入）"/>
    <m/>
    <d v="2026-06-05T00:00:00"/>
  </r>
  <r>
    <n v="9"/>
    <x v="22"/>
    <x v="4"/>
    <s v="经营利润率"/>
    <s v="FY20240331"/>
    <n v="7.9112497833246671"/>
    <s v="%"/>
    <s v="计算得出（经营利润/营业收入）"/>
    <m/>
    <m/>
    <x v="2"/>
    <x v="5"/>
    <n v="7.9112497833246671"/>
    <s v="计算得出（经营利润/营业收入）"/>
    <m/>
    <d v="2026-06-05T00:00:00"/>
  </r>
  <r>
    <n v="9"/>
    <x v="22"/>
    <x v="2"/>
    <s v="SG&amp;A expenses"/>
    <s v="FY20260331"/>
    <n v="85863"/>
    <s v="百万日元"/>
    <s v="user_input_files/260512_MIZUNO_FY25_Financial_result_ENG.pdf"/>
    <m/>
    <m/>
    <x v="0"/>
    <x v="13"/>
    <n v="4121424"/>
    <s v="85,863×0.048×1000=千元RMB"/>
    <m/>
    <d v="2026-06-05T00:00:00"/>
  </r>
  <r>
    <n v="9"/>
    <x v="22"/>
    <x v="2"/>
    <s v="Operating profit"/>
    <s v="FY20260331"/>
    <n v="22603"/>
    <s v="百万日元"/>
    <s v="user_input_files/260512_MIZUNO_FY25_Financial_result_ENG.pdf"/>
    <m/>
    <m/>
    <x v="0"/>
    <x v="3"/>
    <n v="1084944"/>
    <s v="22,603×0.048×1000=千元RMB"/>
    <m/>
    <d v="2026-06-05T00:00:00"/>
  </r>
  <r>
    <n v="9"/>
    <x v="22"/>
    <x v="2"/>
    <s v="SG&amp;A expenses"/>
    <s v="FY20250331"/>
    <n v="77780"/>
    <s v="百万日元"/>
    <s v="user_input_files/250513_4Q-FY24-FinancialResults_0.pdf"/>
    <m/>
    <m/>
    <x v="1"/>
    <x v="13"/>
    <n v="3733440"/>
    <s v="77,780×0.048×1000=千元RMB"/>
    <m/>
    <d v="2026-06-05T00:00:00"/>
  </r>
  <r>
    <n v="9"/>
    <x v="22"/>
    <x v="2"/>
    <s v="Operating profit"/>
    <s v="FY20250331"/>
    <n v="20777"/>
    <s v="百万日元"/>
    <s v="user_input_files/250513_4Q-FY24-FinancialResults_0.pdf"/>
    <m/>
    <m/>
    <x v="1"/>
    <x v="3"/>
    <n v="997296"/>
    <s v="20,777×0.048×1000=千元RMB"/>
    <m/>
    <d v="2026-06-05T00:00:00"/>
  </r>
  <r>
    <n v="9"/>
    <x v="22"/>
    <x v="2"/>
    <s v="SG&amp;A expenses"/>
    <s v="FY20240331"/>
    <n v="73666"/>
    <s v="百万日元"/>
    <s v="user_input_files/250513_4Q-FY24-FinancialResults_0.pdf"/>
    <m/>
    <m/>
    <x v="2"/>
    <x v="13"/>
    <n v="3535968"/>
    <s v="73666×0.048×1000=千元RMB"/>
    <m/>
    <d v="2026-06-05T00:00:00"/>
  </r>
  <r>
    <n v="9"/>
    <x v="22"/>
    <x v="2"/>
    <s v="Operating profit"/>
    <s v="FY20240331"/>
    <n v="17279"/>
    <s v="百万日元"/>
    <s v="user_input_files/250513_4Q-FY24-FinancialResults_0.pdf"/>
    <m/>
    <m/>
    <x v="2"/>
    <x v="3"/>
    <n v="829392"/>
    <s v="17279×0.048×1000=千元RMB"/>
    <m/>
    <d v="2026-06-05T00:00:00"/>
  </r>
  <r>
    <n v="14"/>
    <x v="13"/>
    <x v="2"/>
    <s v="Net sales"/>
    <s v="FY2025"/>
    <n v="3014"/>
    <s v="CHF in millions"/>
    <s v="Ex-99-3_Annual-Report_FY2025-1.pdf"/>
    <n v="76"/>
    <s v="Summary of Financial Performance"/>
    <x v="0"/>
    <x v="0"/>
    <n v="24413400"/>
    <s v="3014.0×8.1×1000=千元RMB"/>
    <m/>
    <d v="2026-06-05T00:00:00"/>
  </r>
  <r>
    <n v="14"/>
    <x v="13"/>
    <x v="2"/>
    <s v="Gross profit"/>
    <s v="FY2025"/>
    <n v="1893.6"/>
    <s v="CHF in millions"/>
    <s v="Ex-99-3_Annual-Report_FY2025-1.pdf"/>
    <n v="76"/>
    <s v="Summary of Financial Performance"/>
    <x v="0"/>
    <x v="1"/>
    <n v="15338160"/>
    <s v="1893.6×8.1×1000=千元RMB"/>
    <m/>
    <d v="2026-06-05T00:00:00"/>
  </r>
  <r>
    <n v="14"/>
    <x v="13"/>
    <x v="2"/>
    <s v="Gross margin"/>
    <s v="FY2025"/>
    <n v="62.82"/>
    <s v="%"/>
    <s v="Ex-99-3_Annual-Report_FY2025-1.pdf"/>
    <n v="76"/>
    <s v="Summary of Financial Performance"/>
    <x v="0"/>
    <x v="2"/>
    <n v="62.82"/>
    <n v="0.62819999999999998"/>
    <m/>
    <d v="2026-06-05T00:00:00"/>
  </r>
  <r>
    <n v="14"/>
    <x v="13"/>
    <x v="2"/>
    <s v="Net income"/>
    <s v="FY2025"/>
    <n v="203.7"/>
    <s v="CHF in millions"/>
    <s v="Ex-99-3_Annual-Report_FY2025-1.pdf"/>
    <n v="76"/>
    <s v="Summary of Financial Performance"/>
    <x v="0"/>
    <x v="6"/>
    <n v="1649970"/>
    <s v="203.7×8.1×1000=千元RMB"/>
    <m/>
    <d v="2026-06-05T00:00:00"/>
  </r>
  <r>
    <n v="14"/>
    <x v="13"/>
    <x v="2"/>
    <s v="Net margin"/>
    <s v="FY2025"/>
    <n v="6.76"/>
    <s v="%"/>
    <s v="Ex-99-3_Annual-Report_FY2025-1.pdf"/>
    <n v="76"/>
    <s v="Summary of Financial Performance"/>
    <x v="0"/>
    <x v="4"/>
    <n v="6.76"/>
    <n v="6.7599999999999993E-2"/>
    <m/>
    <d v="2026-06-05T00:00:00"/>
  </r>
  <r>
    <n v="14"/>
    <x v="13"/>
    <x v="2"/>
    <s v="Net sales"/>
    <s v="FY2024"/>
    <n v="2318.3000000000002"/>
    <s v="CHF in millions"/>
    <s v="Ex-99-3_Annual-Report_FY2025-1.pdf"/>
    <n v="76"/>
    <s v="Summary of Financial Performance"/>
    <x v="1"/>
    <x v="0"/>
    <n v="18778230"/>
    <s v="2318.3×8.1×1000=千元RMB"/>
    <m/>
    <d v="2026-06-05T00:00:00"/>
  </r>
  <r>
    <n v="14"/>
    <x v="13"/>
    <x v="2"/>
    <s v="Gross profit"/>
    <s v="FY2024"/>
    <n v="1405.7"/>
    <s v="CHF in millions"/>
    <s v="Ex-99-3_Annual-Report_FY2025-1.pdf"/>
    <n v="76"/>
    <s v="Summary of Financial Performance"/>
    <x v="1"/>
    <x v="1"/>
    <n v="11386170"/>
    <s v="1405.7×8.1×1000=千元RMB"/>
    <m/>
    <d v="2026-06-05T00:00:00"/>
  </r>
  <r>
    <n v="14"/>
    <x v="13"/>
    <x v="2"/>
    <s v="Gross margin"/>
    <s v="FY2024"/>
    <n v="60.63"/>
    <s v="%"/>
    <s v="Ex-99-3_Annual-Report_FY2025-1.pdf"/>
    <n v="76"/>
    <s v="Summary of Financial Performance"/>
    <x v="1"/>
    <x v="2"/>
    <n v="60.63"/>
    <n v="0.60629999999999995"/>
    <m/>
    <d v="2026-06-05T00:00:00"/>
  </r>
  <r>
    <n v="14"/>
    <x v="13"/>
    <x v="2"/>
    <s v="Net income"/>
    <s v="FY2024"/>
    <n v="242.3"/>
    <s v="CHF in millions"/>
    <s v="Ex-99-3_Annual-Report_FY2025-1.pdf"/>
    <n v="76"/>
    <s v="Summary of Financial Performance"/>
    <x v="1"/>
    <x v="6"/>
    <n v="1962630"/>
    <s v="242.3×8.1×1000=千元RMB"/>
    <m/>
    <d v="2026-06-05T00:00:00"/>
  </r>
  <r>
    <n v="14"/>
    <x v="13"/>
    <x v="2"/>
    <s v="Net margin"/>
    <s v="FY2024"/>
    <n v="10.45"/>
    <s v="%"/>
    <s v="Ex-99-3_Annual-Report_FY2025-1.pdf"/>
    <n v="76"/>
    <s v="Summary of Financial Performance"/>
    <x v="1"/>
    <x v="4"/>
    <n v="10.45"/>
    <n v="0.1045"/>
    <m/>
    <d v="2026-06-05T00:00:00"/>
  </r>
  <r>
    <n v="14"/>
    <x v="13"/>
    <x v="2"/>
    <s v="Net sales"/>
    <s v="FY2023"/>
    <n v="1792.1"/>
    <s v="CHF in millions"/>
    <s v="Ex-99-3_Annual-Report_FY2025-1.pdf"/>
    <n v="76"/>
    <s v="Summary of Financial Performance"/>
    <x v="2"/>
    <x v="0"/>
    <n v="14516010"/>
    <s v="1792.1×8.1×1000=千元RMB"/>
    <m/>
    <d v="2026-06-05T00:00:00"/>
  </r>
  <r>
    <n v="14"/>
    <x v="13"/>
    <x v="2"/>
    <s v="Gross profit"/>
    <s v="FY2023"/>
    <n v="1067.2"/>
    <s v="CHF in millions"/>
    <s v="Ex-99-3_Annual-Report_FY2025-1.pdf"/>
    <n v="76"/>
    <s v="Summary of Financial Performance"/>
    <x v="2"/>
    <x v="1"/>
    <n v="8644320"/>
    <s v="1067.2×8.1×1000=千元RMB"/>
    <m/>
    <d v="2026-06-05T00:00:00"/>
  </r>
  <r>
    <n v="14"/>
    <x v="13"/>
    <x v="2"/>
    <s v="Gross margin"/>
    <s v="FY2023"/>
    <n v="59.55"/>
    <s v="%"/>
    <s v="Ex-99-3_Annual-Report_FY2025-1.pdf"/>
    <n v="76"/>
    <s v="Summary of Financial Performance"/>
    <x v="2"/>
    <x v="2"/>
    <n v="59.55"/>
    <n v="0.59550000000000003"/>
    <m/>
    <d v="2026-06-05T00:00:00"/>
  </r>
  <r>
    <n v="14"/>
    <x v="13"/>
    <x v="2"/>
    <s v="Net income"/>
    <s v="FY2023"/>
    <n v="79.599999999999994"/>
    <s v="CHF in millions"/>
    <s v="Ex-99-3_Annual-Report_FY2025-1.pdf"/>
    <n v="76"/>
    <s v="Summary of Financial Performance"/>
    <x v="2"/>
    <x v="6"/>
    <n v="644760"/>
    <s v="79.6×8.1×1000=千元RMB"/>
    <m/>
    <d v="2026-06-05T00:00:00"/>
  </r>
  <r>
    <n v="14"/>
    <x v="13"/>
    <x v="2"/>
    <s v="Net margin"/>
    <s v="FY2023"/>
    <n v="4.4400000000000004"/>
    <s v="%"/>
    <s v="Ex-99-3_Annual-Report_FY2025-1.pdf"/>
    <n v="76"/>
    <s v="Summary of Financial Performance"/>
    <x v="2"/>
    <x v="4"/>
    <n v="4.4400000000000004"/>
    <n v="4.4400000000000002E-2"/>
    <m/>
    <d v="2026-06-05T00:00:00"/>
  </r>
  <r>
    <n v="14"/>
    <x v="13"/>
    <x v="2"/>
    <s v="SG&amp;A expenses"/>
    <s v="FY2024"/>
    <n v="1194.2"/>
    <s v="千CHF"/>
    <s v="user_input_files/Ex-99-3_Annual-Report_FY2024-Website.pdf"/>
    <n v="78"/>
    <s v="Consolidated Statements of Income - SG&amp;A Expenses"/>
    <x v="1"/>
    <x v="13"/>
    <n v="9673020"/>
    <s v="1194.2×8.1×1000=千元RMB"/>
    <m/>
    <d v="2026-06-05T00:00:00"/>
  </r>
  <r>
    <n v="14"/>
    <x v="13"/>
    <x v="2"/>
    <s v="SG&amp;A ratio"/>
    <s v="FY2024"/>
    <n v="51.5"/>
    <s v="%"/>
    <s v="user_input_files/Ex-99-3_Annual-Report_FY2024-Website.pdf"/>
    <n v="78"/>
    <s v="Consolidated Statements of Income - SG&amp;A Expenses"/>
    <x v="1"/>
    <x v="10"/>
    <n v="51.5"/>
    <n v="0.51500000000000001"/>
    <m/>
    <d v="2026-06-05T00:00:00"/>
  </r>
  <r>
    <n v="14"/>
    <x v="13"/>
    <x v="2"/>
    <s v="SG&amp;A expenses"/>
    <s v="FY2023"/>
    <n v="887"/>
    <s v="千CHF"/>
    <s v="user_input_files/Ex-99-3_Annual-Report_FY2024-Website.pdf"/>
    <n v="78"/>
    <s v="Consolidated Statements of Income - SG&amp;A Expenses"/>
    <x v="2"/>
    <x v="13"/>
    <n v="7184700"/>
    <s v="887.0×8.1×1000=千元RMB"/>
    <m/>
    <d v="2026-06-05T00:00:00"/>
  </r>
  <r>
    <n v="14"/>
    <x v="13"/>
    <x v="2"/>
    <s v="SG&amp;A ratio"/>
    <s v="FY2023"/>
    <n v="49.5"/>
    <s v="%"/>
    <s v="user_input_files/Ex-99-3_Annual-Report_FY2024-Website.pdf"/>
    <n v="78"/>
    <s v="Consolidated Statements of Income - SG&amp;A Expenses"/>
    <x v="2"/>
    <x v="10"/>
    <n v="49.5"/>
    <n v="0.495"/>
    <m/>
    <d v="2026-06-05T00:00:00"/>
  </r>
  <r>
    <n v="14"/>
    <x v="13"/>
    <x v="2"/>
    <s v="SG&amp;A expenses"/>
    <s v="FY2025"/>
    <n v="1516.6"/>
    <s v="千CHF"/>
    <s v="user_input_files/Ex-99-3_Annual-Report_FY2025-1.pdf"/>
    <n v="78"/>
    <s v="Selling, General and Administrative Expenses"/>
    <x v="0"/>
    <x v="13"/>
    <n v="12284460"/>
    <s v="1516.6×8.1×1000=千元RMB"/>
    <m/>
    <d v="2026-06-05T00:00:00"/>
  </r>
  <r>
    <n v="14"/>
    <x v="13"/>
    <x v="2"/>
    <s v="SG&amp;A ratio"/>
    <s v="FY2025"/>
    <n v="50.3"/>
    <s v="%"/>
    <s v="user_input_files/Ex-99-3_Annual-Report_FY2025-1.pdf"/>
    <n v="78"/>
    <s v="Selling, General and Administrative Expenses"/>
    <x v="0"/>
    <x v="10"/>
    <n v="50.3"/>
    <n v="0.503"/>
    <m/>
    <d v="2026-06-05T00:00:00"/>
  </r>
  <r>
    <n v="8"/>
    <x v="18"/>
    <x v="2"/>
    <s v="Gross profit"/>
    <s v="FY2023"/>
    <n v="2308.1"/>
    <s v="百万美元"/>
    <s v="Amer 2024 annual report.pdf"/>
    <n v="101"/>
    <s v="Gross profit: $2308.1M"/>
    <x v="2"/>
    <x v="1"/>
    <n v="16618320"/>
    <s v="2308.1×7.2×1000=千元RMB"/>
    <m/>
    <d v="2026-06-05T00:00:00"/>
  </r>
  <r>
    <n v="8"/>
    <x v="18"/>
    <x v="2"/>
    <s v="Operating profit"/>
    <s v="FY2023"/>
    <n v="302.39999999999998"/>
    <s v="百万美元"/>
    <s v="Amer 2024 annual report.pdf"/>
    <n v="101"/>
    <s v="Operating profit: $302.4M"/>
    <x v="2"/>
    <x v="3"/>
    <n v="2177280"/>
    <s v="302.4×7.2×1000=千元RMB"/>
    <m/>
    <d v="2026-06-05T00:00:00"/>
  </r>
  <r>
    <n v="8"/>
    <x v="18"/>
    <x v="2"/>
    <s v="Operating margin"/>
    <s v="FY2023"/>
    <n v="6.9"/>
    <s v="%"/>
    <s v="Amer 2024 annual report.pdf"/>
    <n v="101"/>
    <s v="Operating margin: $6.9M"/>
    <x v="2"/>
    <x v="5"/>
    <n v="6.9"/>
    <n v="6.9000000000000006E-2"/>
    <m/>
    <d v="2026-06-05T00:00:00"/>
  </r>
  <r>
    <n v="8"/>
    <x v="18"/>
    <x v="2"/>
    <s v="Net income"/>
    <s v="FY2023"/>
    <n v="-208.8"/>
    <s v="百万美元"/>
    <s v="Amer 2024 annual report.pdf"/>
    <n v="101"/>
    <s v="Net income: $-208.8M"/>
    <x v="2"/>
    <x v="6"/>
    <n v="-1503360"/>
    <s v="-208.8×7.2×1000=千元RMB"/>
    <m/>
    <d v="2026-06-05T00:00:00"/>
  </r>
  <r>
    <n v="8"/>
    <x v="18"/>
    <x v="2"/>
    <s v="Net margin"/>
    <s v="FY2023"/>
    <n v="-4.7"/>
    <s v="%"/>
    <s v="Amer 2024 annual report.pdf"/>
    <n v="101"/>
    <s v="Net margin: $-4.7M"/>
    <x v="2"/>
    <x v="4"/>
    <n v="-4.7"/>
    <n v="-4.7E-2"/>
    <m/>
    <d v="2026-06-05T00:00:00"/>
  </r>
  <r>
    <n v="8"/>
    <x v="18"/>
    <x v="2"/>
    <s v="SG&amp;A expenses"/>
    <s v="FY2023"/>
    <n v="2014.5"/>
    <s v="百万美元"/>
    <s v="Amer 2024 annual report.pdf"/>
    <n v="101"/>
    <s v="SG&amp;A expenses: $2014.5M"/>
    <x v="2"/>
    <x v="13"/>
    <n v="14504400"/>
    <s v="2014.5×7.2×1000=千元RMB"/>
    <m/>
    <d v="2026-06-05T00:00:00"/>
  </r>
  <r>
    <n v="8"/>
    <x v="18"/>
    <x v="2"/>
    <s v="SG&amp;A ratio"/>
    <s v="FY2023"/>
    <n v="45.8"/>
    <s v="%"/>
    <s v="Amer 2024 annual report.pdf"/>
    <n v="101"/>
    <s v="SG&amp;A ratio: $45.8M"/>
    <x v="2"/>
    <x v="10"/>
    <n v="45.8"/>
    <n v="0.45800000000000002"/>
    <m/>
    <d v="2026-06-05T00:00:00"/>
  </r>
  <r>
    <n v="8"/>
    <x v="18"/>
    <x v="2"/>
    <s v="Gross profit"/>
    <s v="FY2024"/>
    <n v="2871.8"/>
    <s v="百万美元"/>
    <s v="Amer 2025 annual report.pdf"/>
    <n v="101"/>
    <s v="Gross profit: $2871.8M"/>
    <x v="1"/>
    <x v="1"/>
    <n v="20676960"/>
    <s v="2871.8×7.2×1000=千元RMB"/>
    <m/>
    <d v="2026-06-05T00:00:00"/>
  </r>
  <r>
    <n v="8"/>
    <x v="18"/>
    <x v="2"/>
    <s v="Operating profit"/>
    <s v="FY2024"/>
    <n v="470.8"/>
    <s v="百万美元"/>
    <s v="Amer 2025 annual report.pdf"/>
    <n v="101"/>
    <s v="Operating profit: $470.8M"/>
    <x v="1"/>
    <x v="3"/>
    <n v="3389760"/>
    <s v="470.8×7.2×1000=千元RMB"/>
    <m/>
    <d v="2026-06-05T00:00:00"/>
  </r>
  <r>
    <n v="8"/>
    <x v="18"/>
    <x v="2"/>
    <s v="Operating margin"/>
    <s v="FY2024"/>
    <n v="9.1"/>
    <s v="%"/>
    <s v="Amer 2025 annual report.pdf"/>
    <n v="101"/>
    <s v="Operating margin: $9.1M"/>
    <x v="1"/>
    <x v="5"/>
    <n v="9.1"/>
    <n v="9.0999999999999998E-2"/>
    <m/>
    <d v="2026-06-05T00:00:00"/>
  </r>
  <r>
    <n v="8"/>
    <x v="18"/>
    <x v="2"/>
    <s v="Net income"/>
    <s v="FY2024"/>
    <n v="78.400000000000006"/>
    <s v="百万美元"/>
    <s v="Amer 2025 annual report.pdf"/>
    <n v="101"/>
    <s v="Net income: $78.4M"/>
    <x v="1"/>
    <x v="6"/>
    <n v="564480"/>
    <s v="78.4×7.2×1000=千元RMB"/>
    <m/>
    <d v="2026-06-05T00:00:00"/>
  </r>
  <r>
    <n v="8"/>
    <x v="18"/>
    <x v="2"/>
    <s v="Net margin"/>
    <s v="FY2024"/>
    <n v="1.5"/>
    <s v="%"/>
    <s v="Amer 2025 annual report.pdf"/>
    <n v="101"/>
    <s v="Net margin: $1.5M"/>
    <x v="1"/>
    <x v="4"/>
    <n v="1.5"/>
    <n v="1.4999999999999999E-2"/>
    <m/>
    <d v="2026-06-05T00:00:00"/>
  </r>
  <r>
    <n v="8"/>
    <x v="18"/>
    <x v="2"/>
    <s v="SG&amp;A expenses"/>
    <s v="FY2024"/>
    <n v="2430.4"/>
    <s v="百万美元"/>
    <s v="Amer 2025 annual report.pdf"/>
    <n v="101"/>
    <s v="SG&amp;A expenses: $2430.4M"/>
    <x v="1"/>
    <x v="13"/>
    <n v="17498880"/>
    <s v="2430.4×7.2×1000=千元RMB"/>
    <m/>
    <d v="2026-06-05T00:00:00"/>
  </r>
  <r>
    <n v="8"/>
    <x v="18"/>
    <x v="2"/>
    <s v="SG&amp;A ratio"/>
    <s v="FY2024"/>
    <n v="46.9"/>
    <s v="%"/>
    <s v="Amer 2025 annual report.pdf"/>
    <n v="101"/>
    <s v="SG&amp;A ratio: $46.9M"/>
    <x v="1"/>
    <x v="10"/>
    <n v="46.9"/>
    <n v="0.46899999999999997"/>
    <m/>
    <d v="2026-06-05T00:00:00"/>
  </r>
  <r>
    <n v="8"/>
    <x v="18"/>
    <x v="2"/>
    <s v="Gross profit"/>
    <s v="FY2025"/>
    <n v="3784.3"/>
    <s v="百万美元"/>
    <s v="Amer 2025 annual report.pdf"/>
    <n v="101"/>
    <s v="Gross profit: $3784.3M"/>
    <x v="0"/>
    <x v="1"/>
    <n v="27246960"/>
    <s v="3784.3×7.2×1000=千元RMB"/>
    <m/>
    <d v="2026-06-05T00:00:00"/>
  </r>
  <r>
    <n v="8"/>
    <x v="18"/>
    <x v="2"/>
    <s v="Operating profit"/>
    <s v="FY2025"/>
    <n v="701.8"/>
    <s v="百万美元"/>
    <s v="Amer 2025 annual report.pdf"/>
    <n v="101"/>
    <s v="Operating profit: $701.8M"/>
    <x v="0"/>
    <x v="3"/>
    <n v="5052960"/>
    <s v="701.8×7.2×1000=千元RMB"/>
    <m/>
    <d v="2026-06-05T00:00:00"/>
  </r>
  <r>
    <n v="8"/>
    <x v="18"/>
    <x v="2"/>
    <s v="Operating margin"/>
    <s v="FY2025"/>
    <n v="10.7"/>
    <s v="%"/>
    <s v="Amer 2025 annual report.pdf"/>
    <n v="101"/>
    <s v="Operating margin: $10.7M"/>
    <x v="0"/>
    <x v="5"/>
    <n v="10.7"/>
    <n v="0.107"/>
    <m/>
    <d v="2026-06-05T00:00:00"/>
  </r>
  <r>
    <n v="8"/>
    <x v="18"/>
    <x v="2"/>
    <s v="Net income"/>
    <s v="FY2025"/>
    <n v="440.4"/>
    <s v="百万美元"/>
    <s v="Amer 2025 annual report.pdf"/>
    <n v="101"/>
    <s v="Net income: $440.4M"/>
    <x v="0"/>
    <x v="6"/>
    <n v="3170880"/>
    <s v="440.4×7.2×1000=千元RMB"/>
    <m/>
    <d v="2026-06-05T00:00:00"/>
  </r>
  <r>
    <n v="8"/>
    <x v="18"/>
    <x v="2"/>
    <s v="Net margin"/>
    <s v="FY2025"/>
    <n v="6.7"/>
    <s v="%"/>
    <s v="Amer 2025 annual report.pdf"/>
    <n v="101"/>
    <s v="Net margin: $6.7M"/>
    <x v="0"/>
    <x v="4"/>
    <n v="6.7"/>
    <n v="6.7000000000000004E-2"/>
    <m/>
    <d v="2026-06-05T00:00:00"/>
  </r>
  <r>
    <n v="8"/>
    <x v="18"/>
    <x v="2"/>
    <s v="SG&amp;A expenses"/>
    <s v="FY2025"/>
    <n v="3104.6"/>
    <s v="百万美元"/>
    <s v="Amer 2025 annual report.pdf"/>
    <n v="101"/>
    <s v="SG&amp;A expenses: $3104.6M"/>
    <x v="0"/>
    <x v="13"/>
    <n v="22353120"/>
    <s v="3104.6×7.2×1000=千元RMB"/>
    <m/>
    <d v="2026-06-05T00:00:00"/>
  </r>
  <r>
    <n v="8"/>
    <x v="18"/>
    <x v="2"/>
    <s v="SG&amp;A ratio"/>
    <s v="FY2025"/>
    <n v="47.3"/>
    <s v="%"/>
    <s v="Amer 2025 annual report.pdf"/>
    <n v="101"/>
    <s v="SG&amp;A ratio: $47.3M"/>
    <x v="0"/>
    <x v="10"/>
    <n v="47.3"/>
    <n v="0.47299999999999998"/>
    <m/>
    <d v="2026-06-05T00:00:00"/>
  </r>
  <r>
    <n v="1"/>
    <x v="11"/>
    <x v="2"/>
    <s v="Net revenue"/>
    <s v="FY20260201"/>
    <n v="11102600"/>
    <s v="千美元"/>
    <s v="lululemon athletica inc. Form 10-K FY2025 (Consolidated Statements of Operations)"/>
    <m/>
    <m/>
    <x v="0"/>
    <x v="0"/>
    <n v="79938720"/>
    <s v="11,102,600×7.2=千元RMB（千→千，无需×1000）"/>
    <m/>
    <d v="2026-06-05T00:00:00"/>
  </r>
  <r>
    <n v="1"/>
    <x v="11"/>
    <x v="2"/>
    <s v="Gross profit"/>
    <s v="FY20260201"/>
    <n v="6284132"/>
    <s v="千美元"/>
    <s v="lululemon athletica inc. Form 10-K FY2025 (Consolidated Statements of Operations)"/>
    <m/>
    <m/>
    <x v="0"/>
    <x v="1"/>
    <n v="45245750.399999999"/>
    <s v="6,284,132×7.2=千元RMB（千→千，无需×1000）"/>
    <m/>
    <d v="2026-06-05T00:00:00"/>
  </r>
  <r>
    <n v="1"/>
    <x v="11"/>
    <x v="2"/>
    <s v="Gross margin"/>
    <s v="FY20260201"/>
    <n v="56.6"/>
    <s v="%"/>
    <s v="lululemon athletica inc. Form 10-K FY2025 (Consolidated Statements of Operations)"/>
    <m/>
    <m/>
    <x v="0"/>
    <x v="2"/>
    <n v="56.6"/>
    <s v="直接使用原始百分比"/>
    <m/>
    <d v="2026-06-05T00:00:00"/>
  </r>
  <r>
    <n v="1"/>
    <x v="11"/>
    <x v="2"/>
    <s v="SG&amp;A expenses"/>
    <s v="FY20260201"/>
    <n v="4066556"/>
    <s v="千美元"/>
    <s v="lululemon athletica inc. Form 10-K FY2025 (Consolidated Statements of Operations)"/>
    <m/>
    <m/>
    <x v="0"/>
    <x v="13"/>
    <n v="29279203.199999999"/>
    <s v="4,066,556×7.2=千元RMB（千→千，无需×1000）"/>
    <m/>
    <d v="2026-06-05T00:00:00"/>
  </r>
  <r>
    <n v="1"/>
    <x v="11"/>
    <x v="2"/>
    <s v="SG&amp;A ratio"/>
    <s v="FY20260201"/>
    <n v="36.6"/>
    <s v="%"/>
    <s v="lululemon athletica inc. Form 10-K FY2025 (Consolidated Statements of Operations)"/>
    <m/>
    <m/>
    <x v="0"/>
    <x v="10"/>
    <n v="36.6"/>
    <s v="直接使用原始百分比"/>
    <m/>
    <d v="2026-06-05T00:00:00"/>
  </r>
  <r>
    <n v="1"/>
    <x v="11"/>
    <x v="2"/>
    <s v="Operating income"/>
    <s v="FY20260201"/>
    <n v="2210615"/>
    <s v="千美元"/>
    <s v="lululemon athletica inc. Form 10-K FY2025 (Consolidated Statements of Operations)"/>
    <m/>
    <m/>
    <x v="0"/>
    <x v="3"/>
    <n v="15916428"/>
    <s v="2,210,615×7.2=千元RMB（千→千，无需×1000）"/>
    <m/>
    <d v="2026-06-05T00:00:00"/>
  </r>
  <r>
    <n v="1"/>
    <x v="11"/>
    <x v="2"/>
    <s v="Operating margin"/>
    <s v="FY20260201"/>
    <n v="19.899999999999999"/>
    <s v="%"/>
    <s v="lululemon athletica inc. Form 10-K FY2025 (Consolidated Statements of Operations)"/>
    <m/>
    <m/>
    <x v="0"/>
    <x v="5"/>
    <n v="19.899999999999999"/>
    <s v="直接使用原始百分比"/>
    <m/>
    <d v="2026-06-05T00:00:00"/>
  </r>
  <r>
    <n v="1"/>
    <x v="11"/>
    <x v="2"/>
    <s v="Net income"/>
    <s v="FY20260201"/>
    <n v="1579183"/>
    <s v="千美元"/>
    <s v="lululemon athletica inc. Form 10-K FY2025 (Consolidated Statements of Operations)"/>
    <m/>
    <m/>
    <x v="0"/>
    <x v="6"/>
    <n v="11370117.6"/>
    <s v="1,579,183×7.2=千元RMB（千→千，无需×1000）"/>
    <m/>
    <d v="2026-06-05T00:00:00"/>
  </r>
  <r>
    <n v="1"/>
    <x v="11"/>
    <x v="2"/>
    <s v="Net margin"/>
    <s v="FY20260201"/>
    <n v="14.2"/>
    <s v="%"/>
    <s v="lululemon athletica inc. Form 10-K FY2025 (Consolidated Statements of Operations)"/>
    <m/>
    <m/>
    <x v="0"/>
    <x v="4"/>
    <n v="14.2"/>
    <s v="直接使用原始百分比"/>
    <m/>
    <d v="2026-06-05T00:00:00"/>
  </r>
  <r>
    <n v="1"/>
    <x v="11"/>
    <x v="2"/>
    <s v="Net revenue"/>
    <s v="FY20250202"/>
    <n v="10588126"/>
    <s v="千美元"/>
    <s v="lululemon athletica inc. Form 10-K FY2025 (Consolidated Statements of Operations)"/>
    <m/>
    <m/>
    <x v="1"/>
    <x v="0"/>
    <n v="76234507.200000003"/>
    <s v="10,588,126×7.2=千元RMB（千→千，无需×1000）"/>
    <m/>
    <d v="2026-06-05T00:00:00"/>
  </r>
  <r>
    <n v="1"/>
    <x v="11"/>
    <x v="2"/>
    <s v="Gross profit"/>
    <s v="FY20250202"/>
    <n v="6270811"/>
    <s v="千美元"/>
    <s v="lululemon athletica inc. Form 10-K FY2025 (Consolidated Statements of Operations)"/>
    <m/>
    <m/>
    <x v="1"/>
    <x v="1"/>
    <n v="45149839.200000003"/>
    <s v="6,270,811×7.2=千元RMB（千→千，无需×1000）"/>
    <m/>
    <d v="2026-06-05T00:00:00"/>
  </r>
  <r>
    <n v="1"/>
    <x v="11"/>
    <x v="2"/>
    <s v="Gross margin"/>
    <s v="FY20250202"/>
    <n v="59.2"/>
    <s v="%"/>
    <s v="lululemon athletica inc. Form 10-K FY2025 (Consolidated Statements of Operations)"/>
    <m/>
    <m/>
    <x v="1"/>
    <x v="2"/>
    <n v="59.2"/>
    <s v="直接使用原始百分比"/>
    <m/>
    <d v="2026-06-05T00:00:00"/>
  </r>
  <r>
    <n v="1"/>
    <x v="11"/>
    <x v="2"/>
    <s v="SG&amp;A expenses"/>
    <s v="FY20250202"/>
    <n v="3762379"/>
    <s v="千美元"/>
    <s v="lululemon athletica inc. Form 10-K FY2025 (Consolidated Statements of Operations)"/>
    <m/>
    <m/>
    <x v="1"/>
    <x v="13"/>
    <n v="27089128.800000001"/>
    <s v="3,762,379×7.2=千元RMB（千→千，无需×1000）"/>
    <m/>
    <d v="2026-06-05T00:00:00"/>
  </r>
  <r>
    <n v="1"/>
    <x v="11"/>
    <x v="2"/>
    <s v="SG&amp;A ratio"/>
    <s v="FY20250202"/>
    <n v="35.5"/>
    <s v="%"/>
    <s v="lululemon athletica inc. Form 10-K FY2025 (Consolidated Statements of Operations)"/>
    <m/>
    <m/>
    <x v="1"/>
    <x v="10"/>
    <n v="35.5"/>
    <s v="直接使用原始百分比"/>
    <m/>
    <d v="2026-06-05T00:00:00"/>
  </r>
  <r>
    <n v="1"/>
    <x v="11"/>
    <x v="2"/>
    <s v="Operating income"/>
    <s v="FY20250202"/>
    <n v="2505697"/>
    <s v="千美元"/>
    <s v="lululemon athletica inc. Form 10-K FY2025 (Consolidated Statements of Operations)"/>
    <m/>
    <m/>
    <x v="1"/>
    <x v="3"/>
    <n v="18041018.399999999"/>
    <s v="2,505,697×7.2=千元RMB（千→千，无需×1000）"/>
    <m/>
    <d v="2026-06-05T00:00:00"/>
  </r>
  <r>
    <n v="1"/>
    <x v="11"/>
    <x v="2"/>
    <s v="Operating margin"/>
    <s v="FY20250202"/>
    <n v="23.7"/>
    <s v="%"/>
    <s v="lululemon athletica inc. Form 10-K FY2025 (Consolidated Statements of Operations)"/>
    <m/>
    <m/>
    <x v="1"/>
    <x v="5"/>
    <n v="23.7"/>
    <s v="直接使用原始百分比"/>
    <m/>
    <d v="2026-06-05T00:00:00"/>
  </r>
  <r>
    <n v="1"/>
    <x v="11"/>
    <x v="2"/>
    <s v="Net income"/>
    <s v="FY20250202"/>
    <n v="1814616"/>
    <s v="千美元"/>
    <s v="lululemon athletica inc. Form 10-K FY2025 (Consolidated Statements of Operations)"/>
    <m/>
    <m/>
    <x v="1"/>
    <x v="6"/>
    <n v="13065235.199999999"/>
    <s v="1,814,616×7.2=千元RMB（千→千，无需×1000）"/>
    <m/>
    <d v="2026-06-05T00:00:00"/>
  </r>
  <r>
    <n v="1"/>
    <x v="11"/>
    <x v="2"/>
    <s v="Net margin"/>
    <s v="FY20250202"/>
    <n v="17.100000000000001"/>
    <s v="%"/>
    <s v="lululemon athletica inc. Form 10-K FY2025 (Consolidated Statements of Operations)"/>
    <m/>
    <m/>
    <x v="1"/>
    <x v="4"/>
    <n v="17.100000000000001"/>
    <s v="直接使用原始百分比"/>
    <m/>
    <d v="2026-06-05T00:00:00"/>
  </r>
  <r>
    <n v="1"/>
    <x v="11"/>
    <x v="2"/>
    <s v="Net revenue"/>
    <s v="FY20240128"/>
    <n v="9619278"/>
    <s v="千美元"/>
    <s v="lululemon athletica inc. Form 10-K FY2025 (Consolidated Statements of Operations)"/>
    <m/>
    <m/>
    <x v="2"/>
    <x v="0"/>
    <n v="69258801.599999994"/>
    <s v="9,619,278×7.2=千元RMB（千→千，无需×1000）"/>
    <m/>
    <d v="2026-06-05T00:00:00"/>
  </r>
  <r>
    <n v="1"/>
    <x v="11"/>
    <x v="2"/>
    <s v="Gross profit"/>
    <s v="FY20240128"/>
    <n v="5609405"/>
    <s v="千美元"/>
    <s v="lululemon athletica inc. Form 10-K FY2025 (Consolidated Statements of Operations)"/>
    <m/>
    <m/>
    <x v="2"/>
    <x v="1"/>
    <n v="40387716"/>
    <s v="5,609,405×7.2=千元RMB（千→千，无需×1000）"/>
    <m/>
    <d v="2026-06-05T00:00:00"/>
  </r>
  <r>
    <n v="1"/>
    <x v="11"/>
    <x v="2"/>
    <s v="Gross margin"/>
    <s v="FY20240128"/>
    <n v="58.3"/>
    <s v="%"/>
    <s v="lululemon athletica inc. Form 10-K FY2025 (Consolidated Statements of Operations)"/>
    <m/>
    <m/>
    <x v="2"/>
    <x v="2"/>
    <n v="58.3"/>
    <s v="直接使用原始百分比"/>
    <m/>
    <d v="2026-06-05T00:00:00"/>
  </r>
  <r>
    <n v="1"/>
    <x v="11"/>
    <x v="2"/>
    <s v="SG&amp;A expenses"/>
    <s v="FY20240128"/>
    <n v="3397218"/>
    <s v="千美元"/>
    <s v="lululemon athletica inc. Form 10-K FY2025 (Consolidated Statements of Operations)"/>
    <m/>
    <m/>
    <x v="2"/>
    <x v="13"/>
    <n v="24459969.600000001"/>
    <s v="3,397,218×7.2=千元RMB（千→千，无需×1000）"/>
    <m/>
    <d v="2026-06-05T00:00:00"/>
  </r>
  <r>
    <n v="1"/>
    <x v="11"/>
    <x v="2"/>
    <s v="SG&amp;A ratio"/>
    <s v="FY20240128"/>
    <n v="35.299999999999997"/>
    <s v="%"/>
    <s v="lululemon athletica inc. Form 10-K FY2025 (Consolidated Statements of Operations)"/>
    <m/>
    <m/>
    <x v="2"/>
    <x v="10"/>
    <n v="35.299999999999997"/>
    <s v="直接使用原始百分比"/>
    <m/>
    <d v="2026-06-05T00:00:00"/>
  </r>
  <r>
    <n v="1"/>
    <x v="11"/>
    <x v="2"/>
    <s v="Operating income"/>
    <s v="FY20240128"/>
    <n v="2132676"/>
    <s v="千美元"/>
    <s v="lululemon athletica inc. Form 10-K FY2025 (Consolidated Statements of Operations)"/>
    <m/>
    <m/>
    <x v="2"/>
    <x v="3"/>
    <n v="15355267.199999999"/>
    <s v="2,132,676×7.2=千元RMB（千→千，无需×1000）"/>
    <m/>
    <d v="2026-06-05T00:00:00"/>
  </r>
  <r>
    <n v="1"/>
    <x v="11"/>
    <x v="2"/>
    <s v="Operating margin"/>
    <s v="FY20240128"/>
    <n v="22.2"/>
    <s v="%"/>
    <s v="lululemon athletica inc. Form 10-K FY2025 (Consolidated Statements of Operations)"/>
    <m/>
    <m/>
    <x v="2"/>
    <x v="5"/>
    <n v="22.2"/>
    <s v="直接使用原始百分比"/>
    <m/>
    <d v="2026-06-05T00:00:00"/>
  </r>
  <r>
    <n v="1"/>
    <x v="11"/>
    <x v="2"/>
    <s v="Net income"/>
    <s v="FY20240128"/>
    <n v="1550190"/>
    <s v="千美元"/>
    <s v="lululemon athletica inc. Form 10-K FY2025 (Consolidated Statements of Operations)"/>
    <m/>
    <m/>
    <x v="2"/>
    <x v="6"/>
    <n v="11161368"/>
    <s v="1,550,190×7.2=千元RMB（千→千，无需×1000）"/>
    <m/>
    <d v="2026-06-05T00:00:00"/>
  </r>
  <r>
    <n v="1"/>
    <x v="11"/>
    <x v="2"/>
    <s v="Net margin"/>
    <s v="FY20240128"/>
    <n v="16.100000000000001"/>
    <s v="%"/>
    <s v="lululemon athletica inc. Form 10-K FY2025 (Consolidated Statements of Operations)"/>
    <m/>
    <m/>
    <x v="2"/>
    <x v="4"/>
    <n v="16.100000000000001"/>
    <s v="直接使用原始百分比"/>
    <m/>
    <d v="2026-06-05T00:00:00"/>
  </r>
  <r>
    <n v="13"/>
    <x v="12"/>
    <x v="2"/>
    <s v="Revenues"/>
    <s v="FY20250329"/>
    <n v="9504691"/>
    <s v="千美元"/>
    <s v="VF Corporation Form 10-K FY2025 (Consolidated Statements of Operations)"/>
    <n v="57"/>
    <m/>
    <x v="1"/>
    <x v="0"/>
    <n v="68433775.200000003"/>
    <s v=" 9,504,691千美元×7.2=68,433,775千元RMB（千→千，无需×1000）"/>
    <m/>
    <d v="2026-06-05T00:00:00"/>
  </r>
  <r>
    <n v="13"/>
    <x v="12"/>
    <x v="2"/>
    <s v="Gross profit"/>
    <s v="FY20250329"/>
    <n v="5083865"/>
    <s v="千美元"/>
    <s v="VF Corporation Form 10-K FY2025 (Consolidated Statements of Operations)"/>
    <n v="57"/>
    <m/>
    <x v="1"/>
    <x v="1"/>
    <n v="36603828"/>
    <s v=" 5,083,865千美元×7.2=36,603,828千元RMB（千→千，无需×1000）"/>
    <m/>
    <d v="2026-06-05T00:00:00"/>
  </r>
  <r>
    <n v="13"/>
    <x v="12"/>
    <x v="2"/>
    <s v="Gross margin"/>
    <s v="FY20250329"/>
    <n v="53.5"/>
    <s v="%"/>
    <s v="VF Corporation Form 10-K FY2025 (Consolidated Statements of Operations)"/>
    <n v="57"/>
    <m/>
    <x v="1"/>
    <x v="2"/>
    <n v="53.5"/>
    <s v=" 53.5%（百分比直接使用）"/>
    <m/>
    <d v="2026-06-05T00:00:00"/>
  </r>
  <r>
    <n v="13"/>
    <x v="12"/>
    <x v="2"/>
    <s v="SG&amp;A expenses"/>
    <s v="FY20250329"/>
    <n v="4690850"/>
    <s v="千美元"/>
    <s v="VF Corporation Form 10-K FY2025 (Consolidated Statements of Operations)"/>
    <n v="57"/>
    <m/>
    <x v="1"/>
    <x v="13"/>
    <n v="33774120"/>
    <s v=" 4,690,850千美元×7.2=33,774,120千元RMB（千→千，无需×1000）"/>
    <m/>
    <d v="2026-06-05T00:00:00"/>
  </r>
  <r>
    <n v="13"/>
    <x v="12"/>
    <x v="2"/>
    <s v="SG&amp;A ratio"/>
    <s v="FY20250329"/>
    <n v="49.4"/>
    <s v="%"/>
    <s v="VF Corporation Form 10-K FY2025 (Consolidated Statements of Operations)"/>
    <n v="57"/>
    <m/>
    <x v="1"/>
    <x v="10"/>
    <n v="49.4"/>
    <s v=" 49.4%（百分比直接使用）"/>
    <m/>
    <d v="2026-06-05T00:00:00"/>
  </r>
  <r>
    <n v="13"/>
    <x v="12"/>
    <x v="2"/>
    <s v="Operating income"/>
    <s v="FY20250329"/>
    <n v="303773"/>
    <s v="千美元"/>
    <s v="VF Corporation Form 10-K FY2025 (Consolidated Statements of Operations)"/>
    <n v="57"/>
    <m/>
    <x v="1"/>
    <x v="3"/>
    <n v="2187165.6"/>
    <s v=" 303,773千美元×7.2=2,187,166千元RMB（千→千，无需×1000）"/>
    <m/>
    <d v="2026-06-05T00:00:00"/>
  </r>
  <r>
    <n v="13"/>
    <x v="12"/>
    <x v="2"/>
    <s v="Operating margin"/>
    <s v="FY20250329"/>
    <n v="3.2"/>
    <s v="%"/>
    <s v="VF Corporation Form 10-K FY2025 (Consolidated Statements of Operations)"/>
    <n v="57"/>
    <m/>
    <x v="1"/>
    <x v="3"/>
    <n v="3.2"/>
    <s v=" 3.2%（百分比直接使用）"/>
    <m/>
    <d v="2026-06-05T00:00:00"/>
  </r>
  <r>
    <n v="13"/>
    <x v="12"/>
    <x v="2"/>
    <s v="Net income"/>
    <s v="FY20250329"/>
    <n v="-189716"/>
    <s v="千美元"/>
    <s v="VF Corporation Form 10-K FY2025 (Consolidated Statements of Operations)"/>
    <n v="57"/>
    <m/>
    <x v="1"/>
    <x v="6"/>
    <n v="-1365955.2"/>
    <s v=" -189,716千美元×7.2=-1,365,955千元RMB（千→千，无需×1000）"/>
    <m/>
    <d v="2026-06-05T00:00:00"/>
  </r>
  <r>
    <n v="13"/>
    <x v="12"/>
    <x v="2"/>
    <s v="Net margin"/>
    <s v="FY20250329"/>
    <n v="-2"/>
    <s v="%"/>
    <s v="VF Corporation Form 10-K FY2025 (Consolidated Statements of Operations)"/>
    <n v="57"/>
    <m/>
    <x v="1"/>
    <x v="4"/>
    <n v="-2"/>
    <s v=" -2.0%（百分比直接使用）"/>
    <m/>
    <d v="2026-06-05T00:00:00"/>
  </r>
  <r>
    <n v="13"/>
    <x v="12"/>
    <x v="2"/>
    <s v="Revenues"/>
    <s v="FY20240330"/>
    <n v="9915678"/>
    <s v="千美元"/>
    <s v="VF Corporation Form 10-K FY2025 (Consolidated Statements of Operations)"/>
    <n v="57"/>
    <m/>
    <x v="2"/>
    <x v="0"/>
    <n v="71392881.599999994"/>
    <s v="9,915,678千美元×7.2=71,392,882千元RMB（千→千，无需×1000）"/>
    <m/>
    <d v="2026-06-05T00:00:00"/>
  </r>
  <r>
    <n v="13"/>
    <x v="12"/>
    <x v="2"/>
    <s v="Gross profit"/>
    <s v="FY20240330"/>
    <n v="5112300"/>
    <s v="千美元"/>
    <s v="VF Corporation Form 10-K FY2025 (Consolidated Statements of Operations)"/>
    <n v="57"/>
    <m/>
    <x v="2"/>
    <x v="1"/>
    <n v="36808560"/>
    <s v="5,112,300千美元×7.2=36,808,560千元RMB（千→千，无需×1000）"/>
    <m/>
    <d v="2026-06-05T00:00:00"/>
  </r>
  <r>
    <n v="13"/>
    <x v="12"/>
    <x v="2"/>
    <s v="Gross margin"/>
    <s v="FY20240330"/>
    <n v="51.6"/>
    <s v="%"/>
    <s v="VF Corporation Form 10-K FY2025 (Consolidated Statements of Operations)"/>
    <n v="57"/>
    <m/>
    <x v="2"/>
    <x v="2"/>
    <n v="51.6"/>
    <s v="51.6%（百分比直接使用）"/>
    <m/>
    <d v="2026-06-05T00:00:00"/>
  </r>
  <r>
    <n v="13"/>
    <x v="12"/>
    <x v="2"/>
    <s v="SG&amp;A expenses"/>
    <s v="FY20240330"/>
    <n v="4748669"/>
    <s v="千美元"/>
    <s v="VF Corporation Form 10-K FY2025 (Consolidated Statements of Operations)"/>
    <n v="57"/>
    <m/>
    <x v="2"/>
    <x v="13"/>
    <n v="34190416.799999997"/>
    <s v="4,748,669千美元×7.2=34,190,417千元RMB（千→千，无需×1000）"/>
    <m/>
    <d v="2026-06-05T00:00:00"/>
  </r>
  <r>
    <n v="13"/>
    <x v="12"/>
    <x v="2"/>
    <s v="SG&amp;A ratio"/>
    <s v="FY20240330"/>
    <n v="47.9"/>
    <s v="%"/>
    <s v="VF Corporation Form 10-K FY2025 (Consolidated Statements of Operations)"/>
    <n v="57"/>
    <m/>
    <x v="2"/>
    <x v="10"/>
    <n v="47.9"/>
    <s v="47.9%（百分比直接使用）"/>
    <m/>
    <d v="2026-06-05T00:00:00"/>
  </r>
  <r>
    <n v="13"/>
    <x v="12"/>
    <x v="2"/>
    <s v="Operating income"/>
    <s v="FY20240330"/>
    <n v="-143935"/>
    <s v="千美元"/>
    <s v="VF Corporation Form 10-K FY2025 (Consolidated Statements of Operations)"/>
    <n v="57"/>
    <m/>
    <x v="2"/>
    <x v="3"/>
    <n v="-1036332"/>
    <s v="-143,935千美元×7.2=-1,036,332千元RMB（千→千，无需×1000）"/>
    <m/>
    <d v="2026-06-05T00:00:00"/>
  </r>
  <r>
    <n v="13"/>
    <x v="12"/>
    <x v="2"/>
    <s v="Operating margin"/>
    <s v="FY20240330"/>
    <n v="-1.5"/>
    <s v="%"/>
    <s v="VF Corporation Form 10-K FY2025 (Consolidated Statements of Operations)"/>
    <n v="57"/>
    <m/>
    <x v="2"/>
    <x v="3"/>
    <n v="-1.5"/>
    <s v="-1.5%（百分比直接使用）"/>
    <m/>
    <d v="2026-06-05T00:00:00"/>
  </r>
  <r>
    <n v="13"/>
    <x v="12"/>
    <x v="2"/>
    <s v="Net income"/>
    <s v="FY20240330"/>
    <n v="-968882"/>
    <s v="千美元"/>
    <s v="VF Corporation Form 10-K FY2025 (Consolidated Statements of Operations)"/>
    <n v="57"/>
    <m/>
    <x v="2"/>
    <x v="6"/>
    <n v="-6975950.4000000004"/>
    <s v="-968,882千美元×7.2=-6,975,950千元RMB（千→千，无需×1000）"/>
    <m/>
    <d v="2026-06-05T00:00:00"/>
  </r>
  <r>
    <n v="13"/>
    <x v="12"/>
    <x v="2"/>
    <s v="Net margin"/>
    <s v="FY20240330"/>
    <n v="-9.8000000000000007"/>
    <s v="%"/>
    <s v="VF Corporation Form 10-K FY2025 (Consolidated Statements of Operations)"/>
    <n v="57"/>
    <m/>
    <x v="2"/>
    <x v="4"/>
    <n v="-9.8000000000000007"/>
    <s v="-9.8%（百分比直接使用）"/>
    <m/>
    <d v="2026-06-05T00:00:00"/>
  </r>
  <r>
    <n v="13"/>
    <x v="12"/>
    <x v="2"/>
    <s v="Revenues"/>
    <s v="FY20260328"/>
    <n v="9605207"/>
    <s v="千美元"/>
    <s v="VF Corporation Form 10-K FY2026 (Consolidated Statements of Operations)"/>
    <n v="57"/>
    <m/>
    <x v="0"/>
    <x v="0"/>
    <n v="69157490.400000006"/>
    <s v="9,605,207千美元×7.2=69,157,490千元RMB（千→千，无需×1000）"/>
    <m/>
    <d v="2026-06-05T00:00:00"/>
  </r>
  <r>
    <n v="13"/>
    <x v="12"/>
    <x v="2"/>
    <s v="Gross profit"/>
    <s v="FY20260328"/>
    <n v="5261715"/>
    <s v="千美元"/>
    <s v="VF Corporation Form 10-K FY2026 (Consolidated Statements of Operations)"/>
    <n v="57"/>
    <m/>
    <x v="0"/>
    <x v="1"/>
    <n v="37884348"/>
    <s v="5,261,715千美元×7.2=37,884,348千元RMB（千→千，无需×1000）"/>
    <m/>
    <d v="2026-06-05T00:00:00"/>
  </r>
  <r>
    <n v="13"/>
    <x v="12"/>
    <x v="2"/>
    <s v="Gross margin"/>
    <s v="FY20260328"/>
    <n v="54.8"/>
    <s v="%"/>
    <s v="VF Corporation Form 10-K FY2026 (Consolidated Statements of Operations)"/>
    <n v="57"/>
    <m/>
    <x v="0"/>
    <x v="2"/>
    <n v="54.8"/>
    <s v="54.8%（百分比直接使用）"/>
    <m/>
    <d v="2026-06-05T00:00:00"/>
  </r>
  <r>
    <n v="13"/>
    <x v="12"/>
    <x v="2"/>
    <s v="SG&amp;A expenses"/>
    <s v="FY20260328"/>
    <n v="4654430"/>
    <s v="千美元"/>
    <s v="VF Corporation Form 10-K FY2026 (Consolidated Statements of Operations)"/>
    <n v="57"/>
    <m/>
    <x v="0"/>
    <x v="13"/>
    <n v="33511896"/>
    <s v="4,654,430千美元×7.2=33,511,896千元RMB（千→千，无需×1000）"/>
    <m/>
    <d v="2026-06-05T00:00:00"/>
  </r>
  <r>
    <n v="13"/>
    <x v="12"/>
    <x v="2"/>
    <s v="SG&amp;A ratio"/>
    <s v="FY20260328"/>
    <n v="48.5"/>
    <s v="%"/>
    <s v="VF Corporation Form 10-K FY2026 (Consolidated Statements of Operations)"/>
    <n v="57"/>
    <m/>
    <x v="0"/>
    <x v="10"/>
    <n v="48.5"/>
    <s v="48.5%（百分比直接使用）"/>
    <m/>
    <d v="2026-06-05T00:00:00"/>
  </r>
  <r>
    <n v="13"/>
    <x v="12"/>
    <x v="2"/>
    <s v="Operating income"/>
    <s v="FY20260328"/>
    <n v="576569"/>
    <s v="千美元"/>
    <s v="VF Corporation Form 10-K FY2026 (Consolidated Statements of Operations)"/>
    <n v="57"/>
    <m/>
    <x v="0"/>
    <x v="3"/>
    <n v="4151296.8"/>
    <s v="576,569千美元×7.2=4,151,297千元RMB（千→千，无需×1000）"/>
    <m/>
    <d v="2026-06-05T00:00:00"/>
  </r>
  <r>
    <n v="13"/>
    <x v="12"/>
    <x v="2"/>
    <s v="Operating margin"/>
    <s v="FY20260328"/>
    <n v="6"/>
    <s v="%"/>
    <s v="VF Corporation Form 10-K FY2026 (Consolidated Statements of Operations)"/>
    <n v="57"/>
    <m/>
    <x v="0"/>
    <x v="3"/>
    <n v="6"/>
    <s v="6.0%（百分比直接使用）"/>
    <m/>
    <d v="2026-06-05T00:00:00"/>
  </r>
  <r>
    <n v="13"/>
    <x v="12"/>
    <x v="2"/>
    <s v="Net income"/>
    <s v="FY20260328"/>
    <n v="254920"/>
    <s v="千美元"/>
    <s v="VF Corporation Form 10-K FY2026 (Consolidated Statements of Operations)"/>
    <n v="57"/>
    <m/>
    <x v="0"/>
    <x v="6"/>
    <n v="1835424"/>
    <s v="254,920千美元×7.2=1,835,424千元RMB（千→千，无需×1000）"/>
    <m/>
    <d v="2026-06-05T00:00:00"/>
  </r>
  <r>
    <n v="13"/>
    <x v="12"/>
    <x v="2"/>
    <s v="Net margin"/>
    <s v="FY20260328"/>
    <n v="2.7"/>
    <s v="%"/>
    <s v="VF Corporation Form 10-K FY2026 (Consolidated Statements of Operations)"/>
    <n v="57"/>
    <m/>
    <x v="0"/>
    <x v="4"/>
    <n v="2.7"/>
    <s v="2.7%（百分比直接使用）"/>
    <m/>
    <d v="2026-06-05T00:00:00"/>
  </r>
  <r>
    <n v="5"/>
    <x v="7"/>
    <x v="2"/>
    <s v="Net sales"/>
    <s v="FY2025"/>
    <n v="810916"/>
    <s v="百万日元"/>
    <s v="ASICS Corporation FY2025 Consolidated Financial Statements"/>
    <n v="10"/>
    <m/>
    <x v="0"/>
    <x v="0"/>
    <n v="38923968"/>
    <s v="| 810,916百万日元×0.048×1000=38,923,968千元RMB"/>
    <m/>
    <d v="2026-06-05T00:00:00"/>
  </r>
  <r>
    <n v="5"/>
    <x v="7"/>
    <x v="2"/>
    <s v="Gross profit"/>
    <s v="FY2025"/>
    <n v="460632"/>
    <s v="百万日元"/>
    <s v="ASICS Corporation FY2025 Consolidated Financial Statements"/>
    <n v="10"/>
    <m/>
    <x v="0"/>
    <x v="1"/>
    <n v="22110336"/>
    <s v="| 460,632百万日元×0.048×1000=22,110,336千元RMB"/>
    <m/>
    <d v="2026-06-05T00:00:00"/>
  </r>
  <r>
    <n v="5"/>
    <x v="7"/>
    <x v="2"/>
    <s v="Gross margin"/>
    <s v="FY2025"/>
    <n v="56.8"/>
    <s v="%"/>
    <s v="ASICS Corporation FY2025 Consolidated Financial Statements"/>
    <n v="10"/>
    <m/>
    <x v="0"/>
    <x v="2"/>
    <n v="56.8"/>
    <s v="| 56.80%（百分比直接使用）"/>
    <m/>
    <d v="2026-06-05T00:00:00"/>
  </r>
  <r>
    <n v="5"/>
    <x v="7"/>
    <x v="2"/>
    <s v="SG&amp;A expenses"/>
    <s v="FY2025"/>
    <n v="318112"/>
    <s v="百万日元"/>
    <s v="ASICS Corporation FY2025 Consolidated Financial Statements"/>
    <n v="10"/>
    <m/>
    <x v="0"/>
    <x v="13"/>
    <n v="15269376"/>
    <s v="| 318,112百万日元×0.048×1000=15,269,376千元RMB"/>
    <m/>
    <d v="2026-06-05T00:00:00"/>
  </r>
  <r>
    <n v="5"/>
    <x v="7"/>
    <x v="2"/>
    <s v="SG&amp;A ratio"/>
    <s v="FY2025"/>
    <n v="39.229999999999997"/>
    <s v="%"/>
    <s v="ASICS Corporation FY2025 Consolidated Financial Statements"/>
    <n v="10"/>
    <m/>
    <x v="0"/>
    <x v="10"/>
    <n v="39.229999999999997"/>
    <s v="| 39.23%（百分比直接使用）"/>
    <m/>
    <d v="2026-06-05T00:00:00"/>
  </r>
  <r>
    <n v="5"/>
    <x v="7"/>
    <x v="2"/>
    <s v="Operating profit"/>
    <s v="FY2025"/>
    <n v="142519"/>
    <s v="百万日元"/>
    <s v="ASICS Corporation FY2025 Consolidated Financial Statements"/>
    <n v="10"/>
    <m/>
    <x v="0"/>
    <x v="3"/>
    <n v="6840912"/>
    <s v="| 142,519百万日元×0.048×1000=6,840,912千元RMB"/>
    <m/>
    <d v="2026-06-05T00:00:00"/>
  </r>
  <r>
    <n v="5"/>
    <x v="7"/>
    <x v="2"/>
    <s v="Operating margin"/>
    <s v="FY2025"/>
    <n v="17.57"/>
    <s v="%"/>
    <s v="ASICS Corporation FY2025 Consolidated Financial Statements"/>
    <n v="10"/>
    <m/>
    <x v="0"/>
    <x v="5"/>
    <n v="17.57"/>
    <s v="| 17.57%（百分比直接使用）"/>
    <m/>
    <d v="2026-06-05T00:00:00"/>
  </r>
  <r>
    <n v="5"/>
    <x v="7"/>
    <x v="2"/>
    <s v="Net income"/>
    <s v="FY2025"/>
    <n v="98828"/>
    <s v="百万日元"/>
    <s v="ASICS Corporation FY2025 Consolidated Financial Statements"/>
    <n v="10"/>
    <m/>
    <x v="0"/>
    <x v="6"/>
    <n v="4743744"/>
    <s v="| 98,828百万日元×0.048×1000=4,743,744千元RMB"/>
    <m/>
    <d v="2026-06-05T00:00:00"/>
  </r>
  <r>
    <n v="5"/>
    <x v="7"/>
    <x v="2"/>
    <s v="Net margin"/>
    <s v="FY2025"/>
    <n v="12.187205579862773"/>
    <s v="%"/>
    <s v="ASICS FY2024 Annual Report.pdf"/>
    <n v="10"/>
    <s v="Net margin 8.7%"/>
    <x v="1"/>
    <x v="4"/>
    <n v="12.187205579862773"/>
    <s v="直接使用"/>
    <s v="集团TOTAL"/>
    <d v="2026-06-05T00:00:00"/>
  </r>
  <r>
    <n v="5"/>
    <x v="7"/>
    <x v="2"/>
    <s v="Net sales"/>
    <s v="FY2024"/>
    <n v="678526"/>
    <s v="百万日元"/>
    <s v="ASICS Corporation FY2025 Consolidated Financial Statements"/>
    <n v="10"/>
    <m/>
    <x v="1"/>
    <x v="0"/>
    <n v="32569248"/>
    <s v="| 678,526百万日元×0.048×1000=32,569,248千元RMB"/>
    <m/>
    <d v="2026-06-05T00:00:00"/>
  </r>
  <r>
    <n v="5"/>
    <x v="7"/>
    <x v="2"/>
    <s v="Gross profit"/>
    <s v="FY2024"/>
    <n v="378878"/>
    <s v="百万日元"/>
    <s v="ASICS Corporation FY2025 Consolidated Financial Statements"/>
    <n v="10"/>
    <m/>
    <x v="1"/>
    <x v="1"/>
    <n v="18186144"/>
    <s v="| 378,878百万日元×0.048×1000=18,186,144千元RMB"/>
    <m/>
    <d v="2026-06-05T00:00:00"/>
  </r>
  <r>
    <n v="5"/>
    <x v="7"/>
    <x v="2"/>
    <s v="Gross margin"/>
    <s v="FY2024"/>
    <n v="55.83"/>
    <s v="%"/>
    <s v="ASICS Corporation FY2025 Consolidated Financial Statements"/>
    <n v="10"/>
    <m/>
    <x v="1"/>
    <x v="2"/>
    <n v="55.83"/>
    <s v="| 55.83%（百分比直接使用）"/>
    <m/>
    <d v="2026-06-05T00:00:00"/>
  </r>
  <r>
    <n v="5"/>
    <x v="7"/>
    <x v="2"/>
    <s v="SG&amp;A expenses"/>
    <s v="FY2024"/>
    <n v="278766"/>
    <s v="百万日元"/>
    <s v="ASICS Corporation FY2025 Consolidated Financial Statements"/>
    <n v="10"/>
    <m/>
    <x v="1"/>
    <x v="13"/>
    <n v="13380768"/>
    <s v="| 278,766百万日元×0.048×1000=13,380,768千元RMB"/>
    <m/>
    <d v="2026-06-05T00:00:00"/>
  </r>
  <r>
    <n v="5"/>
    <x v="7"/>
    <x v="2"/>
    <s v="SG&amp;A ratio"/>
    <s v="FY2024"/>
    <n v="41.08"/>
    <s v="%"/>
    <s v="ASICS Corporation FY2025 Consolidated Financial Statements"/>
    <n v="10"/>
    <m/>
    <x v="1"/>
    <x v="10"/>
    <n v="41.08"/>
    <s v="| 41.08%（百分比直接使用）"/>
    <m/>
    <d v="2026-06-05T00:00:00"/>
  </r>
  <r>
    <n v="5"/>
    <x v="7"/>
    <x v="2"/>
    <s v="Operating profit"/>
    <s v="FY2024"/>
    <n v="100111"/>
    <s v="百万日元"/>
    <s v="ASICS Corporation FY2025 Consolidated Financial Statements"/>
    <n v="10"/>
    <m/>
    <x v="1"/>
    <x v="3"/>
    <n v="4805328"/>
    <s v="| 100,111百万日元×0.048×1000=4,805,328千元RMB"/>
    <m/>
    <d v="2026-06-05T00:00:00"/>
  </r>
  <r>
    <n v="5"/>
    <x v="7"/>
    <x v="2"/>
    <s v="Operating margin"/>
    <s v="FY2024"/>
    <n v="14.75"/>
    <s v="%"/>
    <s v="ASICS Corporation FY2025 Consolidated Financial Statements"/>
    <n v="10"/>
    <m/>
    <x v="1"/>
    <x v="5"/>
    <n v="14.75"/>
    <s v="| 14.75%（百分比直接使用）"/>
    <m/>
    <d v="2026-06-05T00:00:00"/>
  </r>
  <r>
    <n v="5"/>
    <x v="7"/>
    <x v="2"/>
    <s v="Net income"/>
    <s v="FY2024"/>
    <n v="63944"/>
    <s v="百万日元"/>
    <s v="ASICS Corporation FY2025 Consolidated Financial Statements"/>
    <n v="10"/>
    <m/>
    <x v="1"/>
    <x v="6"/>
    <n v="3069312"/>
    <s v="| 63,944百万日元×0.048×1000=3,069,312千元RMB"/>
    <m/>
    <d v="2026-06-05T00:00:00"/>
  </r>
  <r>
    <n v="25"/>
    <x v="24"/>
    <x v="2"/>
    <s v="Revenue"/>
    <s v="FY20250831"/>
    <n v="3400.5"/>
    <s v="10亿日元"/>
    <s v="Fast Retailing Integrated Report 2025"/>
    <s v=" (Five-Year Summary)"/>
    <m/>
    <x v="0"/>
    <x v="0"/>
    <n v="163224000"/>
    <s v="10亿日元×1,000,000×0.048=千元人民币"/>
    <m/>
    <m/>
  </r>
  <r>
    <n v="25"/>
    <x v="24"/>
    <x v="2"/>
    <s v="Operating Profit"/>
    <s v="FY20250831"/>
    <n v="573.4"/>
    <s v="10亿日元"/>
    <s v="Fast Retailing Integrated Report 2026"/>
    <s v=" (Five-Year Summary)"/>
    <m/>
    <x v="0"/>
    <x v="3"/>
    <n v="27523200"/>
    <s v="10亿日元×1,000,000×0.048=千元人民币"/>
    <m/>
    <m/>
  </r>
  <r>
    <n v="25"/>
    <x v="24"/>
    <x v="2"/>
    <s v="Operating margin"/>
    <s v="FY20250831"/>
    <n v="16.862226140000001"/>
    <s v="%"/>
    <s v="Fast Retailing Integrated Report 2027"/>
    <s v=" (Five-Year Summary)"/>
    <m/>
    <x v="0"/>
    <x v="5"/>
    <n v="16.862226140000001"/>
    <s v="营业利润率=573.4/3400.5×100=16.86%"/>
    <m/>
    <m/>
  </r>
  <r>
    <n v="25"/>
    <x v="24"/>
    <x v="2"/>
    <s v="Profit Before Income Taxes"/>
    <s v="FY20250831"/>
    <n v="650.5"/>
    <s v="10亿日元"/>
    <s v="Fast Retailing Integrated Report 2028"/>
    <s v=" (Five-Year Summary)"/>
    <m/>
    <x v="0"/>
    <x v="14"/>
    <n v="31224000"/>
    <s v="10亿日元×1,000,000×0.048=千元人民币"/>
    <m/>
    <m/>
  </r>
  <r>
    <n v="25"/>
    <x v="24"/>
    <x v="2"/>
    <s v="Net Income"/>
    <s v="FY20250831"/>
    <n v="433"/>
    <s v="10亿日元"/>
    <s v="Fast Retailing Integrated Report 2029"/>
    <s v=" (Five-Year Summary)"/>
    <m/>
    <x v="0"/>
    <x v="6"/>
    <n v="20784000"/>
    <s v="10亿日元×1,000,000×0.048=千元人民币"/>
    <m/>
    <m/>
  </r>
  <r>
    <n v="25"/>
    <x v="24"/>
    <x v="2"/>
    <s v="Revenue"/>
    <s v="FY20240831"/>
    <n v="3102.8"/>
    <s v="10亿日元"/>
    <s v="Fast Retailing Integrated Report 2030"/>
    <s v=" (Five-Year Summary)"/>
    <m/>
    <x v="1"/>
    <x v="0"/>
    <n v="148934400"/>
    <s v="10亿日元×1,000,000×0.048=千元人民币"/>
    <m/>
    <m/>
  </r>
  <r>
    <n v="25"/>
    <x v="24"/>
    <x v="2"/>
    <s v="Operating Profit"/>
    <s v="FY20240831"/>
    <n v="500.8"/>
    <s v="10亿日元"/>
    <s v="Fast Retailing Integrated Report 2031"/>
    <s v=" (Five-Year Summary)"/>
    <m/>
    <x v="1"/>
    <x v="3"/>
    <n v="24038400"/>
    <s v="10亿日元×1,000,000×0.048=千元人民币"/>
    <m/>
    <m/>
  </r>
  <r>
    <n v="25"/>
    <x v="24"/>
    <x v="2"/>
    <s v="Operating margin"/>
    <s v="FY20240831"/>
    <n v="16.14026041"/>
    <s v="%"/>
    <s v="Fast Retailing Integrated Report 2032"/>
    <s v=" (Five-Year Summary)"/>
    <m/>
    <x v="1"/>
    <x v="5"/>
    <n v="16.14026041"/>
    <s v="营业利润率=500.8/3102.8×100=16.14%"/>
    <m/>
    <m/>
  </r>
  <r>
    <n v="25"/>
    <x v="24"/>
    <x v="2"/>
    <s v="Profit Before Income Taxes"/>
    <s v="FY20240831"/>
    <n v="557.20000000000005"/>
    <s v="10亿日元"/>
    <s v="Fast Retailing Integrated Report 2033"/>
    <s v=" (Five-Year Summary)"/>
    <m/>
    <x v="1"/>
    <x v="14"/>
    <n v="26745600"/>
    <s v="10亿日元×1,000,000×0.048=千元人民币"/>
    <m/>
    <m/>
  </r>
  <r>
    <n v="25"/>
    <x v="24"/>
    <x v="2"/>
    <s v="Net Income"/>
    <s v="FY20240831"/>
    <n v="372"/>
    <s v="10亿日元"/>
    <s v="Fast Retailing Integrated Report 2034"/>
    <s v=" (Five-Year Summary)"/>
    <m/>
    <x v="1"/>
    <x v="6"/>
    <n v="17856000"/>
    <s v="10亿日元×1,000,000×0.048=千元人民币"/>
    <m/>
    <m/>
  </r>
  <r>
    <n v="25"/>
    <x v="24"/>
    <x v="2"/>
    <s v="Revenue"/>
    <s v="FY20230831"/>
    <n v="2766.5"/>
    <s v="10亿日元"/>
    <s v="Fast Retailing Integrated Report 2035"/>
    <s v=" (Five-Year Summary)"/>
    <m/>
    <x v="2"/>
    <x v="0"/>
    <n v="132792000"/>
    <s v="10亿日元×1,000,000×0.048=千元人民币"/>
    <m/>
    <m/>
  </r>
  <r>
    <n v="25"/>
    <x v="24"/>
    <x v="2"/>
    <s v="Operating Profit"/>
    <s v="FY20230831"/>
    <n v="383.6"/>
    <s v="10亿日元"/>
    <s v="Fast Retailing Integrated Report 2036"/>
    <s v=" (Five-Year Summary)"/>
    <m/>
    <x v="2"/>
    <x v="3"/>
    <n v="18412800"/>
    <s v="10亿日元×1,000,000×0.048=千元人民币"/>
    <m/>
    <m/>
  </r>
  <r>
    <n v="25"/>
    <x v="24"/>
    <x v="2"/>
    <s v="Operating margin"/>
    <s v="FY20230831"/>
    <n v="13.86589554"/>
    <s v="%"/>
    <s v="Fast Retailing Integrated Report 2037"/>
    <s v=" (Five-Year Summary)"/>
    <m/>
    <x v="2"/>
    <x v="5"/>
    <n v="13.86589554"/>
    <s v="营业利润率=383.6/2766.5×100=13.87%"/>
    <m/>
    <m/>
  </r>
  <r>
    <n v="25"/>
    <x v="24"/>
    <x v="2"/>
    <s v="Net Income"/>
    <s v="FY20230831"/>
    <n v="272.89999999999998"/>
    <s v="10亿日元"/>
    <s v="Fast Retailing Integrated Report 2038"/>
    <s v=" (Five-Year Summary)"/>
    <m/>
    <x v="2"/>
    <x v="6"/>
    <n v="13099200"/>
    <s v="10亿日元×1,000,000×0.048=千元人民币"/>
    <m/>
    <m/>
  </r>
  <r>
    <n v="25"/>
    <x v="24"/>
    <x v="1"/>
    <s v="Revenue"/>
    <s v="FY20250831"/>
    <n v="650.20000000000005"/>
    <s v="10亿日元"/>
    <s v="Fast Retailing Integrated Report 2025"/>
    <n v="44"/>
    <m/>
    <x v="0"/>
    <x v="0"/>
    <n v="31209600"/>
    <s v="10亿日元×1,000,000×0.048=千元人民币"/>
    <m/>
    <m/>
  </r>
  <r>
    <n v="25"/>
    <x v="24"/>
    <x v="1"/>
    <s v="Business Profit"/>
    <s v="FY20250831"/>
    <n v="89.9"/>
    <s v="10亿日元"/>
    <s v="Fast Retailing Integrated Report 2025 (Segment Performance)"/>
    <n v="44"/>
    <m/>
    <x v="0"/>
    <x v="14"/>
    <n v="4315200"/>
    <s v="10亿日元×1,000,000×0.048=千元人民币"/>
    <m/>
    <m/>
  </r>
  <r>
    <n v="25"/>
    <x v="24"/>
    <x v="1"/>
    <s v="Operating Profit"/>
    <s v="FY20250831"/>
    <n v="92.6"/>
    <s v="10亿日元"/>
    <s v="Fast Retailing Integrated Report 2025 (Segment Performance)"/>
    <n v="44"/>
    <m/>
    <x v="0"/>
    <x v="3"/>
    <n v="4444800"/>
    <s v="10亿日元×1,000,000×0.048=千元人民币"/>
    <m/>
    <m/>
  </r>
  <r>
    <n v="25"/>
    <x v="24"/>
    <x v="1"/>
    <s v="Operating Margin"/>
    <s v="FY20250831"/>
    <n v="13.826514919999999"/>
    <s v="%"/>
    <s v="Fast Retailing Integrated Report 2025"/>
    <m/>
    <m/>
    <x v="0"/>
    <x v="5"/>
    <n v="13.826514919999999"/>
    <s v="营业利润率=89.9/650.2×100=13.83%"/>
    <m/>
    <m/>
  </r>
  <r>
    <n v="25"/>
    <x v="24"/>
    <x v="1"/>
    <s v="Stores - Greater China"/>
    <s v="FY20250831"/>
    <n v="1008"/>
    <s v="家"/>
    <s v="Fast Retailing Integrated Report 2025"/>
    <m/>
    <m/>
    <x v="0"/>
    <x v="15"/>
    <n v="1008"/>
    <s v="大中华区门店数=1,008家"/>
    <m/>
    <m/>
  </r>
  <r>
    <n v="25"/>
    <x v="24"/>
    <x v="1"/>
    <s v="E-commerce Ratio"/>
    <s v="FY20250831"/>
    <n v="20"/>
    <s v="%"/>
    <s v="Fast Retailing Integrated Report 2025"/>
    <m/>
    <m/>
    <x v="0"/>
    <x v="16"/>
    <n v="20"/>
    <s v="大中华区电商销售占比≈20%"/>
    <m/>
    <m/>
  </r>
  <r>
    <n v="26"/>
    <x v="25"/>
    <x v="8"/>
    <s v="Revenue"/>
    <s v="FY20250131"/>
    <n v="4708"/>
    <s v="百万欧元"/>
    <s v="Inditex Group Annual Report 2024 (Note 11 - Geographic Segment)"/>
    <m/>
    <m/>
    <x v="1"/>
    <x v="0"/>
    <n v="36722400"/>
    <s v="4,708百万欧元×7.8×1000=36,722,400千元RMB"/>
    <m/>
    <m/>
  </r>
  <r>
    <n v="26"/>
    <x v="25"/>
    <x v="8"/>
    <s v="Revenue"/>
    <s v="FY20240131"/>
    <n v="4796"/>
    <s v="百万欧元"/>
    <s v="Inditex Group Annual Report 2024 (Note 11 - Geographic Segment)"/>
    <m/>
    <m/>
    <x v="2"/>
    <x v="0"/>
    <n v="37408800"/>
    <s v="4,796百万欧元×7.8×1000=36,722,400千元RMB"/>
    <m/>
    <m/>
  </r>
  <r>
    <n v="26"/>
    <x v="25"/>
    <x v="8"/>
    <s v="Stores"/>
    <s v="FY20250131"/>
    <n v="1080"/>
    <s v="家"/>
    <s v="Inditex Group Annual Report 2024"/>
    <m/>
    <m/>
    <x v="1"/>
    <x v="15"/>
    <n v="1080"/>
    <s v="亚太/其他地区门店=1,080家"/>
    <m/>
    <m/>
  </r>
  <r>
    <n v="26"/>
    <x v="25"/>
    <x v="8"/>
    <s v="Revenue"/>
    <s v="FY20240131"/>
    <n v="4796"/>
    <s v="百万欧元"/>
    <s v="Inditex Group Annual Report 2024 (Note 11 - Geographic Segment)"/>
    <m/>
    <m/>
    <x v="1"/>
    <x v="0"/>
    <n v="37408800"/>
    <s v="4,796百万欧元×7.8×1000=37,408,800千元RMB"/>
    <m/>
    <m/>
  </r>
  <r>
    <n v="26"/>
    <x v="25"/>
    <x v="2"/>
    <s v="Revenue"/>
    <s v="FY20250131"/>
    <n v="38632"/>
    <s v="百万欧元"/>
    <s v="Inditex Group Annual Report 2024"/>
    <m/>
    <m/>
    <x v="1"/>
    <x v="0"/>
    <n v="301329600"/>
    <s v="38,632百万欧元×7.8×1000=301,329,600千元RMB"/>
    <m/>
    <m/>
  </r>
  <r>
    <n v="26"/>
    <x v="25"/>
    <x v="2"/>
    <s v="Gross Profit"/>
    <s v="FY20250131"/>
    <n v="22343"/>
    <s v="百万欧元"/>
    <s v="Inditex Group Annual Report 2024"/>
    <m/>
    <m/>
    <x v="1"/>
    <x v="1"/>
    <n v="174275400"/>
    <s v="22,343百万欧元×7.8×1000=174,275,400千元RMB"/>
    <m/>
    <m/>
  </r>
  <r>
    <n v="26"/>
    <x v="25"/>
    <x v="2"/>
    <s v="Gross Margin"/>
    <s v="FY20250131"/>
    <n v="57.835473180000001"/>
    <s v="%"/>
    <s v="Inditex Group Annual Report 2024"/>
    <m/>
    <m/>
    <x v="1"/>
    <x v="2"/>
    <n v="57.835473180000001"/>
    <s v="毛利率=22,343/38,632×100=57.84%"/>
    <m/>
    <m/>
  </r>
  <r>
    <n v="26"/>
    <x v="25"/>
    <x v="2"/>
    <s v="EBITDA"/>
    <s v="FY20250131"/>
    <n v="10728"/>
    <s v="百万欧元"/>
    <s v="Inditex Group Annual Report 2024"/>
    <m/>
    <m/>
    <x v="1"/>
    <x v="14"/>
    <n v="83678400"/>
    <s v="10,728百万欧元×7.8×1000=83,678,400千元RMB"/>
    <m/>
    <m/>
  </r>
  <r>
    <n v="26"/>
    <x v="25"/>
    <x v="2"/>
    <s v="EBIT"/>
    <s v="FY20250131"/>
    <n v="7554"/>
    <s v="百万欧元"/>
    <s v="Inditex Group Annual Report 2024"/>
    <m/>
    <m/>
    <x v="1"/>
    <x v="14"/>
    <n v="58921200"/>
    <s v="7,554百万欧元×7.8×1000=58,921,200千元RMB"/>
    <m/>
    <m/>
  </r>
  <r>
    <n v="26"/>
    <x v="25"/>
    <x v="2"/>
    <s v="EBIT Margin"/>
    <s v="FY20250131"/>
    <n v="19.553737829999999"/>
    <s v="%"/>
    <s v="Inditex Group Annual Report 2024"/>
    <m/>
    <m/>
    <x v="1"/>
    <x v="14"/>
    <n v="19.553737829999999"/>
    <s v="营业利润率=7,554/38,632×100=19.56%"/>
    <m/>
    <m/>
  </r>
  <r>
    <n v="26"/>
    <x v="25"/>
    <x v="2"/>
    <s v="Net Profit"/>
    <s v="FY20250131"/>
    <n v="5877"/>
    <s v="百万欧元"/>
    <s v="Inditex Group Annual Report 2024"/>
    <m/>
    <m/>
    <x v="1"/>
    <x v="6"/>
    <n v="45840600"/>
    <s v="5,877百万欧元×7.8×1000=45,840,600千元RMB"/>
    <m/>
    <m/>
  </r>
  <r>
    <n v="26"/>
    <x v="25"/>
    <x v="2"/>
    <s v="Net Profit Margin"/>
    <s v="FY20250131"/>
    <n v="15.21277697"/>
    <s v="%"/>
    <s v="Inditex Group Annual Report 2024"/>
    <m/>
    <m/>
    <x v="1"/>
    <x v="4"/>
    <n v="15.21277697"/>
    <s v="净利率=5,877/38,632×100=15.21%"/>
    <m/>
    <m/>
  </r>
  <r>
    <n v="26"/>
    <x v="25"/>
    <x v="2"/>
    <s v="Total Stores"/>
    <s v="FY20250131"/>
    <n v="5563"/>
    <s v="家"/>
    <s v="Inditex Group Annual Report 2024"/>
    <m/>
    <m/>
    <x v="1"/>
    <x v="15"/>
    <n v="5563"/>
    <s v="全球门店总数=5,563家"/>
    <m/>
    <m/>
  </r>
  <r>
    <n v="26"/>
    <x v="25"/>
    <x v="2"/>
    <s v="Revenue"/>
    <s v="FY20240131"/>
    <n v="35947"/>
    <s v="百万欧元"/>
    <s v="Inditex Group Annual Report 2024"/>
    <m/>
    <m/>
    <x v="2"/>
    <x v="0"/>
    <n v="280386600"/>
    <s v="35,947百万欧元×7.8×1000=280,386,600千元RMB"/>
    <m/>
    <m/>
  </r>
  <r>
    <n v="26"/>
    <x v="25"/>
    <x v="2"/>
    <s v="Gross Profit"/>
    <s v="FY20240131"/>
    <n v="20762"/>
    <s v="百万欧元"/>
    <s v="Inditex Group Annual Report 2024"/>
    <m/>
    <m/>
    <x v="2"/>
    <x v="1"/>
    <n v="161943600"/>
    <s v="20,762百万欧元×7.8×1000=161,943,600千元RMB"/>
    <m/>
    <m/>
  </r>
  <r>
    <n v="26"/>
    <x v="25"/>
    <x v="2"/>
    <s v="Gross Margin"/>
    <s v="FY20240131"/>
    <n v="57.757253730000002"/>
    <s v="%"/>
    <s v="Inditex Group Annual Report 2024"/>
    <m/>
    <m/>
    <x v="2"/>
    <x v="2"/>
    <n v="57.757253730000002"/>
    <s v="毛利率=20,762/35,947×100=57.76%"/>
    <m/>
    <m/>
  </r>
  <r>
    <n v="26"/>
    <x v="25"/>
    <x v="2"/>
    <s v="EBIT"/>
    <s v="FY20240131"/>
    <n v="6809"/>
    <s v="百万欧元"/>
    <s v="Inditex Group Annual Report 2024"/>
    <m/>
    <m/>
    <x v="2"/>
    <x v="14"/>
    <n v="53110200"/>
    <s v="6,809百万欧元×7.8×1000=53,110,200千元RMB"/>
    <m/>
    <m/>
  </r>
  <r>
    <n v="26"/>
    <x v="25"/>
    <x v="2"/>
    <s v="EBIT Margin"/>
    <s v="FY20240131"/>
    <n v="18.94177539"/>
    <s v="%"/>
    <s v="Inditex Group Annual Report 2024"/>
    <m/>
    <m/>
    <x v="2"/>
    <x v="14"/>
    <n v="18.94177539"/>
    <s v="营业利润率=6,809/35,947×100=18.94%"/>
    <m/>
    <m/>
  </r>
  <r>
    <n v="26"/>
    <x v="25"/>
    <x v="2"/>
    <s v="Net Profit"/>
    <s v="FY20240131"/>
    <n v="5395"/>
    <s v="百万欧元"/>
    <s v="Inditex Group Annual Report 2024"/>
    <m/>
    <m/>
    <x v="2"/>
    <x v="6"/>
    <n v="42081000"/>
    <s v="5,395百万欧元×7.8×1000=42,081,000千元RMB"/>
    <m/>
    <m/>
  </r>
  <r>
    <n v="26"/>
    <x v="25"/>
    <x v="2"/>
    <s v="Net Profit Margin"/>
    <s v="FY20240131"/>
    <n v="15.008206526274792"/>
    <s v="%"/>
    <s v="Inditex Group Annual Report 2024"/>
    <m/>
    <m/>
    <x v="2"/>
    <x v="4"/>
    <n v="15.21277697"/>
    <s v="净利率=5,877/38,632×100=15.21%"/>
    <m/>
    <m/>
  </r>
  <r>
    <n v="26"/>
    <x v="25"/>
    <x v="8"/>
    <s v="Revenue"/>
    <s v="FY20260131"/>
    <n v="4630"/>
    <s v="百万欧元"/>
    <s v="Inditex Group Annual Report 2025 (Note 11 - Geographic Segment)"/>
    <n v="45"/>
    <m/>
    <x v="0"/>
    <x v="0"/>
    <n v="36114000"/>
    <s v="4,630百万欧元×7.8×1000=36,114,000千元RMB"/>
    <m/>
    <m/>
  </r>
  <r>
    <n v="26"/>
    <x v="25"/>
    <x v="2"/>
    <s v="Revenue"/>
    <s v="FY20260131"/>
    <n v="39864"/>
    <s v="百万欧元"/>
    <s v="Inditex Group Annual Report 2025"/>
    <m/>
    <m/>
    <x v="0"/>
    <x v="0"/>
    <n v="310939200"/>
    <s v="39,864百万欧元×7.8×1000=310,939,200千元RMB"/>
    <m/>
    <m/>
  </r>
  <r>
    <n v="26"/>
    <x v="25"/>
    <x v="2"/>
    <s v="Gross Profit"/>
    <s v="FY20260131"/>
    <n v="23222"/>
    <s v="百万欧元"/>
    <s v="Inditex Group Annual Report 2025"/>
    <m/>
    <m/>
    <x v="0"/>
    <x v="1"/>
    <n v="181131600"/>
    <s v="23,222百万欧元×7.8×1000=181,131,600千元RMB"/>
    <m/>
    <m/>
  </r>
  <r>
    <n v="26"/>
    <x v="25"/>
    <x v="2"/>
    <s v="Gross Margin"/>
    <s v="FY20260131"/>
    <n v="58.253060410000003"/>
    <s v="%"/>
    <s v="Inditex Group Annual Report 2025"/>
    <m/>
    <m/>
    <x v="0"/>
    <x v="2"/>
    <n v="58.253060410000003"/>
    <s v="毛利率=23,222/39,864×100=58.25%"/>
    <m/>
    <m/>
  </r>
  <r>
    <n v="26"/>
    <x v="25"/>
    <x v="2"/>
    <s v="EBIT"/>
    <s v="FY20260131"/>
    <n v="7997"/>
    <s v="百万欧元"/>
    <s v="Inditex Group Annual Report 2025"/>
    <m/>
    <m/>
    <x v="0"/>
    <x v="14"/>
    <n v="62376600"/>
    <s v="7,997百万欧元×7.8×1000=62,376,600千元RMB"/>
    <m/>
    <m/>
  </r>
  <r>
    <n v="26"/>
    <x v="25"/>
    <x v="2"/>
    <s v="EBIT Margin"/>
    <s v="FY20260131"/>
    <n v="20.060706400000001"/>
    <s v="%"/>
    <s v="Inditex Group Annual Report 2025"/>
    <m/>
    <m/>
    <x v="0"/>
    <x v="14"/>
    <n v="20.060706400000001"/>
    <s v="营业利润率=7,997/39,864×100=20.06%"/>
    <m/>
    <m/>
  </r>
  <r>
    <n v="26"/>
    <x v="25"/>
    <x v="2"/>
    <s v="Net Profit"/>
    <s v="FY20260131"/>
    <n v="6220"/>
    <s v="百万欧元"/>
    <s v="Inditex Group Annual Report 2025"/>
    <m/>
    <m/>
    <x v="0"/>
    <x v="6"/>
    <n v="48516000"/>
    <s v="6,220百万欧元×7.8×1000=48,516,000千元RMB"/>
    <m/>
    <m/>
  </r>
  <r>
    <n v="26"/>
    <x v="25"/>
    <x v="2"/>
    <s v="Net Profit Margin"/>
    <s v="FY20260131"/>
    <n v="15.60305037"/>
    <s v="%"/>
    <s v="Inditex Group Annual Report 2025"/>
    <m/>
    <m/>
    <x v="0"/>
    <x v="4"/>
    <n v="15.60305037"/>
    <s v="净利率=6,220/39,864×100=15.60%"/>
    <m/>
    <m/>
  </r>
  <r>
    <n v="25"/>
    <x v="24"/>
    <x v="1"/>
    <s v="Revenue"/>
    <s v="FY20240831"/>
    <n v="677"/>
    <s v="10亿日元"/>
    <s v="Fast Retailing Integrated Report 2024 (Segment Performance - Greater China)"/>
    <m/>
    <m/>
    <x v="1"/>
    <x v="0"/>
    <n v="32496000"/>
    <s v="10亿日元×1,000,000×0.048=千元人民币"/>
    <m/>
    <m/>
  </r>
  <r>
    <n v="25"/>
    <x v="24"/>
    <x v="1"/>
    <s v="Operating Profit"/>
    <s v="FY20240831"/>
    <n v="104.8"/>
    <s v="10亿日元"/>
    <s v="Fast Retailing Integrated Report 2024 (Segment Performance - Greater China)"/>
    <m/>
    <m/>
    <x v="1"/>
    <x v="3"/>
    <n v="5030400"/>
    <s v="10亿日元×1,000,000×0.048=千元人民币"/>
    <m/>
    <m/>
  </r>
  <r>
    <n v="25"/>
    <x v="24"/>
    <x v="1"/>
    <s v="Operating Margin"/>
    <s v="FY20240831"/>
    <n v="15.48005908"/>
    <s v="%"/>
    <s v="Fast Retailing Integrated Report 2024"/>
    <m/>
    <m/>
    <x v="1"/>
    <x v="5"/>
    <n v="15.48005908"/>
    <s v="报告周期:20240831 | 归一化周期:2024年 | 营业利润率=104.8/677.0×100=15.48%"/>
    <m/>
    <m/>
  </r>
  <r>
    <n v="25"/>
    <x v="24"/>
    <x v="1"/>
    <s v="YoY Revenue Growth"/>
    <s v="FY20240831"/>
    <n v="9.1999999999999993"/>
    <s v="%"/>
    <s v="Fast Retailing Integrated Report 2024"/>
    <m/>
    <m/>
    <x v="1"/>
    <x v="14"/>
    <n v="9.1999999999999993"/>
    <s v="报告周期:20240831 | 归一化周期:2024年 | 营收同比增长+9.2%"/>
    <m/>
    <m/>
  </r>
  <r>
    <n v="25"/>
    <x v="24"/>
    <x v="1"/>
    <s v="Revenue"/>
    <s v="FY20230831"/>
    <n v="620.20000000000005"/>
    <s v="10亿日元"/>
    <s v="Fast Retailing Integrated Report 2024 (由FY2024 YoY变化倒推计算)"/>
    <m/>
    <m/>
    <x v="2"/>
    <x v="0"/>
    <n v="29769600"/>
    <s v="10亿日元×1,000,000×0.048=千元人民币"/>
    <m/>
    <m/>
  </r>
  <r>
    <n v="25"/>
    <x v="24"/>
    <x v="1"/>
    <s v="Operating Profit"/>
    <s v="FY20230831"/>
    <n v="104.3"/>
    <s v="10亿日元"/>
    <s v="Fast Retailing Integrated Report 2024 (由FY2024 YoY变化倒推计算)"/>
    <m/>
    <m/>
    <x v="2"/>
    <x v="3"/>
    <n v="5006400"/>
    <s v="10亿日元×1,000,000×0.048=千元人民币"/>
    <m/>
    <m/>
  </r>
  <r>
    <n v="25"/>
    <x v="24"/>
    <x v="1"/>
    <s v="Operating Margin"/>
    <s v="FY20230831"/>
    <n v="16.817155759999999"/>
    <s v="%"/>
    <s v="计算得出"/>
    <m/>
    <m/>
    <x v="2"/>
    <x v="5"/>
    <n v="16.817155759999999"/>
    <s v="营业利润率=104.3/620.2×100=16.82%"/>
    <m/>
    <m/>
  </r>
  <r>
    <n v="5"/>
    <x v="7"/>
    <x v="3"/>
    <s v="Net sales - China Mainland"/>
    <s v="FY2025"/>
    <n v="99151"/>
    <s v="百万日元"/>
    <s v="Consolidated Financial Statements and Auditor's Report 2025.pdf"/>
    <s v="65"/>
    <s v="Net sales attributable to &quot;Greater China&quot; of ¥120,244 million for the year ended December 31, 2025 include net sales in the People's Republic of China of ¥99,151 million"/>
    <x v="0"/>
    <x v="0"/>
    <n v="4759248"/>
    <s v="百万日元×1000×0.048=千元人民币"/>
    <s v="中国大陆(People's Republic of China)"/>
    <s v="2025-06-09"/>
  </r>
  <r>
    <n v="5"/>
    <x v="7"/>
    <x v="3"/>
    <s v="Net sales - China Mainland"/>
    <s v="FY2024"/>
    <n v="83026"/>
    <s v="百万日元"/>
    <s v="Consolidated Financial Statements and Auditor's Report 2025.pdf"/>
    <s v="65"/>
    <s v="Net sales attributable to &quot;Greater China&quot; of ¥100,490 million for the year ended December 31, 2024 include net sales in the People's Republic of China of ¥83,026 million"/>
    <x v="1"/>
    <x v="0"/>
    <n v="3985248"/>
    <s v="百万日元×1000×0.048=千元人民币"/>
    <s v="中国大陆(People's Republic of China)"/>
    <s v="2025-06-09"/>
  </r>
  <r>
    <n v="5"/>
    <x v="7"/>
    <x v="3"/>
    <s v="Net sales - China Mainland"/>
    <s v="FY2023"/>
    <n v="63624"/>
    <s v="百万日元"/>
    <s v="2024Q4 Annual Report.pdf"/>
    <s v="58"/>
    <s v="Net sales attributable to &quot;Greater China&quot; of ¥77,572 million for the year ended December 31, 2023 include net sales in the People's Republic of China of ¥63,624 million"/>
    <x v="2"/>
    <x v="0"/>
    <n v="3053952"/>
    <s v="百万日元×1000×0.048=千元人民币"/>
    <s v="中国大陆(People's Republic of China)"/>
    <s v="2025-06-09"/>
  </r>
  <r>
    <n v="2"/>
    <x v="26"/>
    <x v="2"/>
    <s v="Net income from continuing operations"/>
    <s v="FY2024"/>
    <n v="824"/>
    <s v="百万欧元"/>
    <s v="adidas_annual_report_2024_EN_Final_secured_c8nukv.pdf"/>
    <s v="361"/>
    <s v="Net income from continuing operations €824 million"/>
    <x v="1"/>
    <x v="6"/>
    <n v="6427200"/>
    <s v="百万欧元×1000×7.8=千元人民币"/>
    <s v="集团TOTAL "/>
    <s v="2025-06-09"/>
  </r>
  <r>
    <n v="2"/>
    <x v="26"/>
    <x v="2"/>
    <s v="Net income/(loss) attributable to shareholders"/>
    <s v="FY2024"/>
    <n v="764"/>
    <s v="百万欧元"/>
    <s v="adidas_annual_report_2024_EN_Final_secured_c8nukv.pdf"/>
    <s v="361"/>
    <s v="net income attributable to shareholders...amounted to €764 million in 2024"/>
    <x v="1"/>
    <x v="17"/>
    <n v="5959200"/>
    <s v="百万欧元×1000×7.8=千元人民币"/>
    <s v="集团TOTAL "/>
    <s v="2025-06-09"/>
  </r>
  <r>
    <n v="2"/>
    <x v="26"/>
    <x v="2"/>
    <s v="Net income/(loss)"/>
    <s v="FY2024"/>
    <n v="832"/>
    <s v="百万欧元"/>
    <s v="adidas_annual_report_2024_EN_Final_secured_c8nukv.pdf"/>
    <s v="361"/>
    <s v="Net income/(loss) 832"/>
    <x v="1"/>
    <x v="6"/>
    <n v="6489600"/>
    <s v="百万欧元×1000×7.8=千元人民币"/>
    <s v="集团TOTAL "/>
    <s v="2025-06-09"/>
  </r>
  <r>
    <n v="2"/>
    <x v="26"/>
    <x v="2"/>
    <s v="Marketing and point-of-sale expenses"/>
    <s v="FY2024"/>
    <n v="2841"/>
    <s v="百万欧元"/>
    <s v="adidas_annual_report_2024_EN_Final_secured_c8nukv.pdf"/>
    <s v="361"/>
    <s v="Marketing and point-of-sale expenses 2,841"/>
    <x v="1"/>
    <x v="18"/>
    <n v="22159800"/>
    <s v="百万欧元×1000×7.8=千元人民币"/>
    <s v="集团TOTAL (占销售额12.0%)"/>
    <s v="2025-06-09"/>
  </r>
  <r>
    <n v="2"/>
    <x v="26"/>
    <x v="2"/>
    <s v="Distribution and selling expenses"/>
    <s v="FY2024"/>
    <n v="5936"/>
    <s v="百万欧元"/>
    <s v="adidas_annual_report_2024_EN_Final_secured_c8nukv.pdf"/>
    <s v="361"/>
    <s v="Distribution and selling expenses 5,936"/>
    <x v="1"/>
    <x v="19"/>
    <n v="46300800"/>
    <s v="百万欧元×1000×7.8=千元人民币"/>
    <s v="集团TOTAL (占销售额25.1%)"/>
    <s v="2025-06-09"/>
  </r>
  <r>
    <n v="2"/>
    <x v="26"/>
    <x v="2"/>
    <s v="General and administration expenses"/>
    <s v="FY2024"/>
    <n v="2138"/>
    <s v="百万欧元"/>
    <s v="adidas_annual_report_2024_EN_Final_secured_c8nukv.pdf"/>
    <s v="361"/>
    <s v="General and administration expenses 2,138"/>
    <x v="1"/>
    <x v="20"/>
    <n v="16676400"/>
    <s v="百万欧元×1000×7.8=千元人民币"/>
    <s v="集团TOTAL (占销售额9.0%)"/>
    <s v="2025-06-09"/>
  </r>
  <r>
    <n v="2"/>
    <x v="26"/>
    <x v="2"/>
    <s v="Other operating expenses"/>
    <s v="FY2024"/>
    <n v="10945"/>
    <s v="百万欧元"/>
    <s v="adidas_annual_report_2024_EN_Final_secured_c8nukv.pdf"/>
    <s v="361"/>
    <s v="Other operating expenses 10,945"/>
    <x v="1"/>
    <x v="21"/>
    <n v="85371000"/>
    <s v="百万欧元×1000×7.8=千元人民币"/>
    <s v="集团TOTAL (占销售额46.2%)"/>
    <s v="2025-06-09"/>
  </r>
  <r>
    <n v="2"/>
    <x v="26"/>
    <x v="2"/>
    <s v="Net income from continuing operations"/>
    <s v="FY2023"/>
    <n v="-58"/>
    <s v="百万欧元"/>
    <s v="adidas_annual_report_2024_EN_Final_secured_c8nukv.pdf"/>
    <s v="361"/>
    <s v="Net loss of €58 million"/>
    <x v="2"/>
    <x v="6"/>
    <n v="-452400"/>
    <s v="百万欧元×1000×7.8=千元人民币"/>
    <s v="集团TOTAL "/>
    <s v="2025-06-09"/>
  </r>
  <r>
    <n v="2"/>
    <x v="26"/>
    <x v="2"/>
    <s v="Net income/(loss) attributable to shareholders"/>
    <s v="FY2023"/>
    <n v="-75"/>
    <s v="百万欧元"/>
    <s v="adidas_annual_report_2024_EN_Final_secured_c8nukv.pdf"/>
    <s v="361"/>
    <s v="net loss of €75 million"/>
    <x v="2"/>
    <x v="17"/>
    <n v="-585000"/>
    <s v="百万欧元×1000×7.8=千元人民币"/>
    <s v="集团TOTAL "/>
    <s v="2025-06-09"/>
  </r>
  <r>
    <n v="2"/>
    <x v="26"/>
    <x v="2"/>
    <s v="Net income/(loss)"/>
    <s v="FY2023"/>
    <n v="-14"/>
    <s v="百万欧元"/>
    <s v="adidas_annual_report_2024_EN_Final_secured_c8nukv.pdf"/>
    <s v="361"/>
    <s v="Net income/(loss) -14"/>
    <x v="2"/>
    <x v="6"/>
    <n v="-109200"/>
    <s v="百万欧元×1000×7.8=千元人民币"/>
    <s v="集团TOTAL "/>
    <s v="2025-06-09"/>
  </r>
  <r>
    <n v="2"/>
    <x v="26"/>
    <x v="2"/>
    <s v="Marketing and point-of-sale expenses"/>
    <s v="FY2023"/>
    <n v="2528"/>
    <s v="百万欧元"/>
    <s v="adidas_annual_report_2024_EN_Final_secured_c8nukv.pdf"/>
    <s v="361"/>
    <s v="Marketing and point-of-sale expenses 2,528"/>
    <x v="2"/>
    <x v="18"/>
    <n v="19718400"/>
    <s v="百万欧元×1000×7.8=千元人民币"/>
    <s v="集团TOTAL (占销售额11.8%)"/>
    <s v="2025-06-09"/>
  </r>
  <r>
    <n v="2"/>
    <x v="26"/>
    <x v="2"/>
    <s v="Distribution and selling expenses"/>
    <s v="FY2023"/>
    <n v="5547"/>
    <s v="百万欧元"/>
    <s v="adidas_annual_report_2024_EN_Final_secured_c8nukv.pdf"/>
    <s v="361"/>
    <s v="Distribution and selling expenses 5,547"/>
    <x v="2"/>
    <x v="19"/>
    <n v="43266600"/>
    <s v="百万欧元×1000×7.8=千元人民币"/>
    <s v="集团TOTAL (占销售额25.9%)"/>
    <s v="2025-06-09"/>
  </r>
  <r>
    <n v="2"/>
    <x v="26"/>
    <x v="2"/>
    <s v="General and administration expenses"/>
    <s v="FY2023"/>
    <n v="1839"/>
    <s v="百万欧元"/>
    <s v="adidas_annual_report_2024_EN_Final_secured_c8nukv.pdf"/>
    <s v="361"/>
    <s v="General and administration expenses 1,839"/>
    <x v="2"/>
    <x v="20"/>
    <n v="14344200"/>
    <s v="百万欧元×1000×7.8=千元人民币"/>
    <s v="集团TOTAL (占销售额8.6%)"/>
    <s v="2025-06-09"/>
  </r>
  <r>
    <n v="2"/>
    <x v="26"/>
    <x v="2"/>
    <s v="Other operating expenses"/>
    <s v="FY2023"/>
    <n v="10070"/>
    <s v="百万欧元"/>
    <s v="adidas_annual_report_2024_EN_Final_secured_c8nukv.pdf"/>
    <s v="361"/>
    <s v="Other operating expenses 10,070"/>
    <x v="2"/>
    <x v="21"/>
    <n v="78546000"/>
    <s v="百万欧元×1000×7.8=千元人民币"/>
    <s v="集团TOTAL (占销售额47.0%)"/>
    <s v="2025-06-09"/>
  </r>
  <r>
    <n v="2"/>
    <x v="26"/>
    <x v="2"/>
    <s v="Net sales"/>
    <s v="FY2025"/>
    <n v="24811"/>
    <s v="百万欧元"/>
    <s v="adidasAG_FY_2025_Results_EN_Final_tb9z6m.pdf"/>
    <s v="13"/>
    <s v="Net sales 24,811 in FY2025 (Condensed Consolidated Income Statement)"/>
    <x v="0"/>
    <x v="0"/>
    <n v="193525800"/>
    <s v="百万欧元×1000×7.8=千元人民币"/>
    <s v="集团TOTAL"/>
    <s v="2025-06-09"/>
  </r>
  <r>
    <n v="2"/>
    <x v="26"/>
    <x v="2"/>
    <s v="Gross profit"/>
    <s v="FY2025"/>
    <n v="12804"/>
    <s v="百万欧元"/>
    <s v="adidasAG_FY_2025_Results_EN_Final_tb9z6m.pdf"/>
    <s v="13"/>
    <s v="Gross profit 12,804 in FY2025 (Condensed Consolidated Income Statement)"/>
    <x v="0"/>
    <x v="1"/>
    <n v="99871200"/>
    <s v="百万欧元×1000×7.8=千元人民币"/>
    <s v="集团TOTAL"/>
    <s v="2025-06-09"/>
  </r>
  <r>
    <n v="2"/>
    <x v="26"/>
    <x v="2"/>
    <s v="Other operating expenses"/>
    <s v="FY2025"/>
    <n v="10871"/>
    <s v="百万欧元"/>
    <s v="adidasAG_FY_2025_Results_EN_Final_tb9z6m.pdf"/>
    <s v="13"/>
    <s v="Other operating expenses 10,871 in FY2025 (Condensed Consolidated Income Statement)"/>
    <x v="0"/>
    <x v="21"/>
    <n v="84793800"/>
    <s v="百万欧元×1000×7.8=千元人民币"/>
    <s v="集团TOTAL"/>
    <s v="2025-06-09"/>
  </r>
  <r>
    <n v="2"/>
    <x v="26"/>
    <x v="2"/>
    <s v="Marketing and point-of-sale expenses"/>
    <s v="FY2025"/>
    <n v="3079"/>
    <s v="百万欧元"/>
    <s v="adidasAG_FY_2025_Results_EN_Final_tb9z6m.pdf"/>
    <s v="13"/>
    <s v="Marketing and point-of-sale expenses 3,079 in FY2025 (Condensed Consolidated Income Statement)"/>
    <x v="0"/>
    <x v="18"/>
    <n v="24016200"/>
    <s v="百万欧元×1000×7.8=千元人民币"/>
    <s v="集团TOTAL"/>
    <s v="2025-06-09"/>
  </r>
  <r>
    <n v="2"/>
    <x v="26"/>
    <x v="2"/>
    <s v="Operating overhead expenses"/>
    <s v="FY2025"/>
    <n v="7792"/>
    <s v="百万欧元"/>
    <s v="adidasAG_FY_2025_Results_EN_Final_tb9z6m.pdf"/>
    <s v="13"/>
    <s v="Operating overhead expenses 7,792 in FY2025 (Condensed Consolidated Income Statement)"/>
    <x v="0"/>
    <x v="22"/>
    <n v="60777600"/>
    <s v="百万欧元×1000×7.8=千元人民币"/>
    <s v="集团TOTAL"/>
    <s v="2025-06-09"/>
  </r>
  <r>
    <n v="2"/>
    <x v="26"/>
    <x v="2"/>
    <s v="Operating profit"/>
    <s v="FY2025"/>
    <n v="2056"/>
    <s v="百万欧元"/>
    <s v="adidasAG_FY_2025_Results_EN_Final_tb9z6m.pdf"/>
    <s v="13"/>
    <s v="Operating profit 2,056 in FY2025 (Condensed Consolidated Income Statement)"/>
    <x v="0"/>
    <x v="3"/>
    <n v="16036800"/>
    <s v="百万欧元×1000×7.8=千元人民币"/>
    <s v="集团TOTAL"/>
    <s v="2025-06-09"/>
  </r>
  <r>
    <n v="2"/>
    <x v="26"/>
    <x v="2"/>
    <s v="Income before taxes"/>
    <s v="FY2025"/>
    <n v="1820"/>
    <s v="百万欧元"/>
    <s v="adidasAG_FY_2025_Results_EN_Final_tb9z6m.pdf"/>
    <s v="13"/>
    <s v="Income before taxes 1,820 in FY2025 (Condensed Consolidated Income Statement)"/>
    <x v="0"/>
    <x v="23"/>
    <n v="14196000"/>
    <s v="百万欧元×1000×7.8=千元人民币"/>
    <s v="集团TOTAL"/>
    <s v="2025-06-09"/>
  </r>
  <r>
    <n v="2"/>
    <x v="26"/>
    <x v="2"/>
    <s v="Income taxes"/>
    <s v="FY2025"/>
    <n v="443"/>
    <s v="百万欧元"/>
    <s v="adidasAG_FY_2025_Results_EN_Final_tb9z6m.pdf"/>
    <s v="13"/>
    <s v="Income taxes 443 in FY2025 (Condensed Consolidated Income Statement)"/>
    <x v="0"/>
    <x v="24"/>
    <n v="3455400"/>
    <s v="百万欧元×1000×7.8=千元人民币"/>
    <s v="集团TOTAL"/>
    <s v="2025-06-09"/>
  </r>
  <r>
    <n v="2"/>
    <x v="26"/>
    <x v="2"/>
    <s v="Net income from continuing operations"/>
    <s v="FY2025"/>
    <n v="1377"/>
    <s v="百万欧元"/>
    <s v="adidasAG_FY_2025_Results_EN_Final_tb9z6m.pdf"/>
    <s v="13"/>
    <s v="Net income from continuing operations 1,377 in FY2025 (Condensed Consolidated Income Statement)"/>
    <x v="0"/>
    <x v="6"/>
    <n v="10740600"/>
    <s v="百万欧元×1000×7.8=千元人民币"/>
    <s v="集团TOTAL"/>
    <s v="2025-06-09"/>
  </r>
  <r>
    <n v="2"/>
    <x v="26"/>
    <x v="2"/>
    <s v="Net income"/>
    <s v="FY2025"/>
    <n v="1385"/>
    <s v="百万欧元"/>
    <s v="adidasAG_FY_2025_Results_EN_Final_tb9z6m.pdf"/>
    <s v="13"/>
    <s v="Net income 1,385 in FY2025 (Condensed Consolidated Income Statement)"/>
    <x v="0"/>
    <x v="25"/>
    <n v="10803000"/>
    <s v="百万欧元×1000×7.8=千元人民币"/>
    <s v="集团TOTAL"/>
    <s v="2025-06-09"/>
  </r>
  <r>
    <n v="2"/>
    <x v="26"/>
    <x v="2"/>
    <s v="Net income attributable to shareholders"/>
    <s v="FY2025"/>
    <n v="1340"/>
    <s v="百万欧元"/>
    <s v="adidasAG_FY_2025_Results_EN_Final_tb9z6m.pdf"/>
    <s v="13"/>
    <s v="Net income attributable to shareholders 1,340 in FY2025 (Condensed Consolidated Income Statement)"/>
    <x v="0"/>
    <x v="17"/>
    <n v="10452000"/>
    <s v="百万欧元×1000×7.8=千元人民币"/>
    <s v="集团TOTAL"/>
    <s v="2025-06-09"/>
  </r>
  <r>
    <n v="2"/>
    <x v="26"/>
    <x v="2"/>
    <s v="Gross margin (% of net sales)"/>
    <s v="FY2025"/>
    <n v="51.6"/>
    <s v="%"/>
    <s v="adidasAG_FY_2025_Results_EN_Final_tb9z6m.pdf"/>
    <s v="13"/>
    <s v="Gross margin (% of net sales) 51.6% in FY2025 (Condensed Consolidated Income Statement)"/>
    <x v="0"/>
    <x v="2"/>
    <n v="51.6"/>
    <s v="百分比直接存储"/>
    <s v="集团TOTAL"/>
    <s v="2025-06-09"/>
  </r>
  <r>
    <n v="2"/>
    <x v="26"/>
    <x v="2"/>
    <s v="Operating profit margin (% of net sales)"/>
    <s v="FY2025"/>
    <n v="8.3000000000000007"/>
    <s v="%"/>
    <s v="adidasAG_FY_2025_Results_EN_Final_tb9z6m.pdf"/>
    <s v="13"/>
    <s v="Operating profit margin (% of net sales) 8.3% in FY2025 (Condensed Consolidated Income Statement)"/>
    <x v="0"/>
    <x v="5"/>
    <n v="8.3000000000000007"/>
    <s v="百分比直接存储"/>
    <s v="集团TOTAL"/>
    <s v="2025-06-09"/>
  </r>
  <r>
    <n v="2"/>
    <x v="26"/>
    <x v="2"/>
    <s v="Net income from continuing operations margin"/>
    <s v="FY2025"/>
    <n v="5.6"/>
    <s v="%"/>
    <s v="adidasAG_FY_2025_Results_EN_Final_tb9z6m.pdf"/>
    <s v="13"/>
    <s v="Net income from continuing operations margin 5.6% in FY2025 (Condensed Consolidated Income Statement)"/>
    <x v="0"/>
    <x v="4"/>
    <n v="5.6"/>
    <s v="百分比直接存储"/>
    <s v="集团TOTAL"/>
    <s v="2025-06-09"/>
  </r>
  <r>
    <n v="2"/>
    <x v="26"/>
    <x v="2"/>
    <s v="Net income margin"/>
    <s v="FY2025"/>
    <n v="5.6"/>
    <s v="%"/>
    <s v="adidasAG_FY_2025_Results_EN_Final_tb9z6m.pdf"/>
    <s v="13"/>
    <s v="Net income margin 5.6% in FY2025 (Condensed Consolidated Income Statement)"/>
    <x v="0"/>
    <x v="26"/>
    <n v="5.6"/>
    <s v="百分比直接存储"/>
    <s v="集团TOTAL"/>
    <s v="2025-06-09"/>
  </r>
  <r>
    <n v="2"/>
    <x v="26"/>
    <x v="2"/>
    <s v="Other operating expenses ratio"/>
    <s v="FY2025"/>
    <n v="43.8"/>
    <s v="%"/>
    <s v="adidasAG_FY_2025_Results_EN_Final_tb9z6m.pdf"/>
    <s v="13"/>
    <s v="Other operating expenses ratio 43.8% in FY2025 (Condensed Consolidated Income Statement)"/>
    <x v="0"/>
    <x v="27"/>
    <n v="43.8"/>
    <s v="百分比直接存储"/>
    <s v="集团TOTAL"/>
    <s v="2025-06-09"/>
  </r>
  <r>
    <n v="2"/>
    <x v="26"/>
    <x v="2"/>
    <s v="Marketing and POS expenses ratio"/>
    <s v="FY2025"/>
    <n v="12.4"/>
    <s v="%"/>
    <s v="adidasAG_FY_2025_Results_EN_Final_tb9z6m.pdf"/>
    <s v="13"/>
    <s v="Marketing and POS expenses ratio 12.4% in FY2025 (Condensed Consolidated Income Statement)"/>
    <x v="0"/>
    <x v="28"/>
    <n v="12.4"/>
    <s v="百分比直接存储"/>
    <s v="集团TOTAL"/>
    <s v="2025-06-09"/>
  </r>
  <r>
    <n v="2"/>
    <x v="26"/>
    <x v="2"/>
    <s v="Operating overhead expenses ratio"/>
    <s v="FY2025"/>
    <n v="31.4"/>
    <s v="%"/>
    <s v="adidasAG_FY_2025_Results_EN_Final_tb9z6m.pdf"/>
    <s v="13"/>
    <s v="Operating overhead expenses ratio 31.4% in FY2025 (Condensed Consolidated Income Statement)"/>
    <x v="0"/>
    <x v="29"/>
    <n v="31.4"/>
    <s v="百分比直接存储"/>
    <s v="集团TOTAL"/>
    <s v="2025-06-09"/>
  </r>
  <r>
    <n v="2"/>
    <x v="26"/>
    <x v="2"/>
    <s v="Income before taxes margin"/>
    <s v="FY2025"/>
    <n v="7.3"/>
    <s v="%"/>
    <s v="adidasAG_FY_2025_Results_EN_Final_tb9z6m.pdf"/>
    <s v="13"/>
    <s v="Income before taxes margin 7.3% in FY2025 (Condensed Consolidated Income Statement)"/>
    <x v="0"/>
    <x v="30"/>
    <n v="7.3"/>
    <s v="百分比直接存储"/>
    <s v="集团TOTAL"/>
    <s v="2025-06-09"/>
  </r>
  <r>
    <n v="2"/>
    <x v="26"/>
    <x v="2"/>
    <s v="Tax rate"/>
    <s v="FY2025"/>
    <n v="24.3"/>
    <s v="%"/>
    <s v="adidasAG_FY_2025_Results_EN_Final_tb9z6m.pdf"/>
    <s v="13"/>
    <s v="Tax rate 24.3% in FY2025 (Condensed Consolidated Income Statement)"/>
    <x v="0"/>
    <x v="31"/>
    <n v="24.3"/>
    <s v="百分比直接存储"/>
    <s v="集团TOTAL"/>
    <s v="2025-06-09"/>
  </r>
  <r>
    <n v="2"/>
    <x v="26"/>
    <x v="2"/>
    <s v="Gross margin (% of net sales)"/>
    <s v="FY2024"/>
    <n v="50.8"/>
    <s v="%"/>
    <s v="adidas_annual_report_2024_EN_Final_secured_c8nukv.pdf"/>
    <s v="361"/>
    <s v="Gross margin (% of net sales) 50.8% in 2024"/>
    <x v="1"/>
    <x v="2"/>
    <n v="50.8"/>
    <s v="百分比直接存储"/>
    <s v="集团TOTAL"/>
    <s v="2025-06-09"/>
  </r>
  <r>
    <n v="2"/>
    <x v="26"/>
    <x v="2"/>
    <s v="Operating profit margin (% of net sales)"/>
    <s v="FY2024"/>
    <n v="5.6"/>
    <s v="%"/>
    <s v="adidas_annual_report_2024_EN_Final_secured_c8nukv.pdf"/>
    <s v="361"/>
    <s v="Operating profit margin (% of net sales) 5.6% in 2024"/>
    <x v="1"/>
    <x v="5"/>
    <n v="5.6"/>
    <s v="百分比直接存储"/>
    <s v="集团TOTAL"/>
    <s v="2025-06-09"/>
  </r>
  <r>
    <n v="2"/>
    <x v="26"/>
    <x v="2"/>
    <s v="Net income from continuing operations margin"/>
    <s v="FY2024"/>
    <n v="3.5"/>
    <s v="%"/>
    <s v="adidas_annual_report_2024_EN_Final_secured_c8nukv.pdf"/>
    <s v="361"/>
    <s v="Net income from continuing operations margin 3.5% in 2024"/>
    <x v="1"/>
    <x v="4"/>
    <n v="3.5"/>
    <s v="百分比直接存储"/>
    <s v="集团TOTAL"/>
    <s v="2025-06-09"/>
  </r>
  <r>
    <n v="2"/>
    <x v="26"/>
    <x v="2"/>
    <s v="Net income margin"/>
    <s v="FY2024"/>
    <n v="3.5"/>
    <s v="%"/>
    <s v="adidas_annual_report_2024_EN_Final_secured_c8nukv.pdf"/>
    <s v="361"/>
    <s v="Net income margin 3.5% in 2024"/>
    <x v="1"/>
    <x v="26"/>
    <n v="3.5"/>
    <s v="百分比直接存储"/>
    <s v="集团TOTAL"/>
    <s v="2025-06-09"/>
  </r>
  <r>
    <n v="2"/>
    <x v="26"/>
    <x v="2"/>
    <s v="Other operating expenses ratio"/>
    <s v="FY2024"/>
    <n v="46.2"/>
    <s v="%"/>
    <s v="adidas_annual_report_2024_EN_Final_secured_c8nukv.pdf"/>
    <s v="361"/>
    <s v="Other operating expenses ratio 46.2% in 2024"/>
    <x v="1"/>
    <x v="27"/>
    <n v="46.2"/>
    <s v="百分比直接存储"/>
    <s v="集团TOTAL"/>
    <s v="2025-06-09"/>
  </r>
  <r>
    <n v="2"/>
    <x v="26"/>
    <x v="2"/>
    <s v="Marketing and POS expenses ratio"/>
    <s v="FY2024"/>
    <n v="12"/>
    <s v="%"/>
    <s v="adidas_annual_report_2024_EN_Final_secured_c8nukv.pdf"/>
    <s v="361"/>
    <s v="Marketing and POS expenses ratio 12.0% in 2024"/>
    <x v="1"/>
    <x v="28"/>
    <n v="12"/>
    <s v="百分比直接存储"/>
    <s v="集团TOTAL"/>
    <s v="2025-06-09"/>
  </r>
  <r>
    <n v="2"/>
    <x v="26"/>
    <x v="2"/>
    <s v="Operating overhead expenses ratio"/>
    <s v="FY2024"/>
    <n v="34.200000000000003"/>
    <s v="%"/>
    <s v="adidas_annual_report_2024_EN_Final_secured_c8nukv.pdf"/>
    <s v="361"/>
    <s v="Operating overhead expenses ratio 34.2% in 2024"/>
    <x v="1"/>
    <x v="29"/>
    <n v="34.200000000000003"/>
    <s v="百分比直接存储"/>
    <s v="集团TOTAL"/>
    <s v="2025-06-09"/>
  </r>
  <r>
    <n v="2"/>
    <x v="26"/>
    <x v="2"/>
    <s v="Gross margin (% of net sales)"/>
    <s v="FY2023"/>
    <n v="47.5"/>
    <s v="%"/>
    <s v="adidas_annual_report_2024_EN_Final_secured_c8nukv.pdf"/>
    <s v="361"/>
    <s v="Gross margin (% of net sales) 47.5% in 2023"/>
    <x v="2"/>
    <x v="2"/>
    <n v="47.5"/>
    <s v="百分比直接存储"/>
    <s v="集团TOTAL"/>
    <s v="2025-06-09"/>
  </r>
  <r>
    <n v="2"/>
    <x v="26"/>
    <x v="2"/>
    <s v="Operating profit margin (% of net sales)"/>
    <s v="FY2023"/>
    <n v="1.3"/>
    <s v="%"/>
    <s v="adidas_annual_report_2024_EN_Final_secured_c8nukv.pdf"/>
    <s v="361"/>
    <s v="Operating profit margin (% of net sales) 1.3% in 2023"/>
    <x v="2"/>
    <x v="5"/>
    <n v="1.3"/>
    <s v="百分比直接存储"/>
    <s v="集团TOTAL"/>
    <s v="2025-06-09"/>
  </r>
  <r>
    <n v="2"/>
    <x v="26"/>
    <x v="2"/>
    <s v="Net income from continuing operations margin"/>
    <s v="FY2023"/>
    <n v="-0.3"/>
    <s v="%"/>
    <s v="adidas_annual_report_2024_EN_Final_secured_c8nukv.pdf"/>
    <s v="361"/>
    <s v="Net income from continuing operations margin -0.3% in 2023"/>
    <x v="2"/>
    <x v="4"/>
    <n v="-0.3"/>
    <s v="百分比直接存储"/>
    <s v="集团TOTAL"/>
    <s v="2025-06-09"/>
  </r>
  <r>
    <n v="2"/>
    <x v="26"/>
    <x v="2"/>
    <s v="Net income margin"/>
    <s v="FY2023"/>
    <n v="-0.1"/>
    <s v="%"/>
    <s v="adidas_annual_report_2024_EN_Final_secured_c8nukv.pdf"/>
    <s v="361"/>
    <s v="Net income margin -0.1% in 2023"/>
    <x v="2"/>
    <x v="26"/>
    <n v="-0.1"/>
    <s v="百分比直接存储"/>
    <s v="集团TOTAL"/>
    <s v="2025-06-09"/>
  </r>
  <r>
    <n v="2"/>
    <x v="26"/>
    <x v="2"/>
    <s v="Other operating expenses ratio"/>
    <s v="FY2023"/>
    <n v="47"/>
    <s v="%"/>
    <s v="adidas_annual_report_2024_EN_Final_secured_c8nukv.pdf"/>
    <s v="361"/>
    <s v="Other operating expenses ratio 47.0% in 2023"/>
    <x v="2"/>
    <x v="27"/>
    <n v="47"/>
    <s v="百分比直接存储"/>
    <s v="集团TOTAL"/>
    <s v="2025-06-09"/>
  </r>
  <r>
    <n v="2"/>
    <x v="26"/>
    <x v="2"/>
    <s v="Marketing and POS expenses ratio"/>
    <s v="FY2023"/>
    <n v="11.8"/>
    <s v="%"/>
    <s v="adidas_annual_report_2024_EN_Final_secured_c8nukv.pdf"/>
    <s v="361"/>
    <s v="Marketing and POS expenses ratio 11.8% in 2023"/>
    <x v="2"/>
    <x v="28"/>
    <n v="11.8"/>
    <s v="百分比直接存储"/>
    <s v="集团TOTAL"/>
    <s v="2025-06-09"/>
  </r>
  <r>
    <n v="2"/>
    <x v="26"/>
    <x v="2"/>
    <s v="Operating overhead expenses ratio"/>
    <s v="FY2023"/>
    <n v="35.200000000000003"/>
    <s v="%"/>
    <s v="adidas_annual_report_2024_EN_Final_secured_c8nukv.pdf"/>
    <s v="361"/>
    <s v="Operating overhead expenses ratio 35.2% in 2023"/>
    <x v="2"/>
    <x v="29"/>
    <n v="35.200000000000003"/>
    <s v="百分比直接存储"/>
    <s v="集团TOTAL"/>
    <s v="2025-06-09"/>
  </r>
  <r>
    <n v="28"/>
    <x v="27"/>
    <x v="2"/>
    <s v="Net sales"/>
    <s v="FY2024"/>
    <n v="16200"/>
    <s v="百万欧元"/>
    <s v="Decathlon Group's 2024 Performance.html"/>
    <s v="N/A (HTML)"/>
    <s v="revenue rose by +3.8%, reaching €16.2 billion"/>
    <x v="1"/>
    <x v="0"/>
    <n v="126360000"/>
    <s v="百万欧元×1000×7.8=千元人民币"/>
    <s v="集团TOTAL"/>
    <s v="2025-06-09"/>
  </r>
  <r>
    <n v="28"/>
    <x v="27"/>
    <x v="2"/>
    <s v="Net result"/>
    <s v="FY2024"/>
    <n v="787"/>
    <s v="百万欧元"/>
    <s v="Decathlon Group's 2024 Performance.html"/>
    <s v="N/A (HTML)"/>
    <s v="Net sales = 16.2 billion euros. Net result = 787 million euros"/>
    <x v="1"/>
    <x v="6"/>
    <n v="6138600"/>
    <s v="百万欧元×1000×7.8=千元人民币"/>
    <s v="集团TOTAL, Net result = Net income"/>
    <s v="2025-06-09"/>
  </r>
  <r>
    <n v="28"/>
    <x v="27"/>
    <x v="2"/>
    <s v="Net sales"/>
    <s v="FY2023"/>
    <n v="15600"/>
    <s v="百万欧元"/>
    <s v="迪卡侬2023年业绩报告"/>
    <s v="新闻报道"/>
    <s v="2023年迪卡侬集团业绩达156亿欧元，相比2022年微增1.15%"/>
    <x v="2"/>
    <x v="0"/>
    <n v="121680000"/>
    <s v="百万欧元×1000×7.8=千元人民币"/>
    <s v="集团TOTAL"/>
    <s v="2025-06-09"/>
  </r>
  <r>
    <n v="28"/>
    <x v="27"/>
    <x v="2"/>
    <s v="Net result"/>
    <s v="FY2023"/>
    <n v="931"/>
    <s v="百万欧元"/>
    <s v="迪卡侬2023年业绩报告"/>
    <s v="新闻报道"/>
    <s v="2023年净利润高达9.31亿欧元"/>
    <x v="2"/>
    <x v="6"/>
    <n v="7261800"/>
    <s v="百万欧元×1000×7.8=千元人民币"/>
    <s v="集团TOTAL"/>
    <s v="2025-06-09"/>
  </r>
  <r>
    <n v="28"/>
    <x v="27"/>
    <x v="2"/>
    <s v="Net sales"/>
    <s v="FY2022"/>
    <n v="15400"/>
    <s v="百万欧元"/>
    <s v="迪卡侬2022年业绩报告"/>
    <s v="新闻报道"/>
    <s v="2022年集团收入154亿欧元"/>
    <x v="3"/>
    <x v="0"/>
    <n v="120120000"/>
    <s v="百万欧元×1000×7.8=千元人民币"/>
    <s v="集团TOTAL"/>
    <s v="2025-06-09"/>
  </r>
  <r>
    <n v="28"/>
    <x v="27"/>
    <x v="2"/>
    <s v="Net result"/>
    <s v="FY2022"/>
    <n v="923"/>
    <s v="百万欧元"/>
    <s v="迪卡侬2022年业绩报告"/>
    <s v="新闻报道"/>
    <s v="2022年净利润9.23亿欧元"/>
    <x v="3"/>
    <x v="6"/>
    <n v="7199400"/>
    <s v="百万欧元×1000×7.8=千元人民币"/>
    <s v="集团TOTAL"/>
    <s v="2025-06-09"/>
  </r>
  <r>
    <n v="28"/>
    <x v="27"/>
    <x v="2"/>
    <s v="Number of stores"/>
    <s v="FY2024"/>
    <n v="1817"/>
    <s v="家"/>
    <s v="Decathlon Group's 2024 Performance.html"/>
    <s v="N/A (HTML)"/>
    <s v="Number of stores = 1,817"/>
    <x v="1"/>
    <x v="15"/>
    <n v="1817"/>
    <s v="门店数直接存储"/>
    <s v="集团TOTAL, 全球门店数"/>
    <s v="2025-06-09"/>
  </r>
  <r>
    <n v="28"/>
    <x v="27"/>
    <x v="3"/>
    <s v="Number of stores - China"/>
    <s v="FY2024"/>
    <n v="200"/>
    <s v="家"/>
    <s v="亿欧网/新浪财经"/>
    <s v="新闻报道"/>
    <s v="截至2024年，迪卡侬在中国拥有200余家实体门店"/>
    <x v="1"/>
    <x v="15"/>
    <n v="200"/>
    <s v="门店数直接存储"/>
    <s v="中国内地, 覆盖100+城市"/>
    <s v="2025-06-09"/>
  </r>
  <r>
    <n v="28"/>
    <x v="27"/>
    <x v="2"/>
    <s v="Digital sales ratio"/>
    <s v="FY2024"/>
    <n v="20"/>
    <s v="%"/>
    <s v="Decathlon Group's 2024 Performance.html"/>
    <s v="N/A (HTML)"/>
    <s v="Digital sales now represent 20% of total revenue"/>
    <x v="1"/>
    <x v="32"/>
    <n v="20"/>
    <s v="百分比直接存储"/>
    <s v="集团TOTAL, 含电商、市场平台、店内线上下单"/>
    <s v="2025-06-09"/>
  </r>
  <r>
    <n v="28"/>
    <x v="27"/>
    <x v="2"/>
    <s v="Net margin (Net result / Net sales)"/>
    <s v="FY2024"/>
    <n v="4.8600000000000003"/>
    <s v="%"/>
    <s v="Decathlon Group's 2024 Performance.html 计算"/>
    <s v="N/A (HTML)"/>
    <s v="Net sales = 16.2 billion euros. Net result = 787 million euros"/>
    <x v="1"/>
    <x v="4"/>
    <n v="4.8600000000000003"/>
    <s v="Net result (€787M) / Net sales (€16,200M) × 100%"/>
    <s v="集团TOTAL, Net result/Net sales"/>
    <s v="2025-06-09"/>
  </r>
  <r>
    <n v="28"/>
    <x v="27"/>
    <x v="2"/>
    <s v="Net margin (Net result / Net sales)"/>
    <s v="FY2023"/>
    <n v="5.97"/>
    <s v="%"/>
    <s v="迪卡侬2023年业绩报告 计算"/>
    <s v="新闻报道"/>
    <s v="2023年迪卡侬集团业绩达156亿欧元...净利润高达9.31亿欧元"/>
    <x v="2"/>
    <x v="4"/>
    <n v="5.97"/>
    <s v="Net result (€931M) / Net sales (€15,600M) × 100%"/>
    <s v="集团TOTAL"/>
    <s v="2025-06-09"/>
  </r>
  <r>
    <n v="28"/>
    <x v="27"/>
    <x v="2"/>
    <s v="Net margin (Net result / Net sales)"/>
    <s v="FY2022"/>
    <n v="5.99"/>
    <s v="%"/>
    <s v="迪卡侬2022年业绩报告 计算"/>
    <s v="新闻报道"/>
    <s v="2022年集团收入154亿欧元...净利润9.23亿欧元"/>
    <x v="3"/>
    <x v="4"/>
    <n v="5.99"/>
    <s v="Net result (€923M) / Net sales (€15,400M) × 100%"/>
    <s v="集团TOTAL"/>
    <s v="2025-06-09"/>
  </r>
  <r>
    <n v="28"/>
    <x v="27"/>
    <x v="2"/>
    <s v="Net sales"/>
    <s v="FY2025"/>
    <n v="16800"/>
    <s v="百万欧元"/>
    <s v="decathlon-group_global-annual-results-2025_press-release.pdf"/>
    <s v="3"/>
    <s v="Net sales = 16.8 billion euros"/>
    <x v="0"/>
    <x v="0"/>
    <n v="131040000"/>
    <s v="百万欧元×1000×7.8=千元人民币"/>
    <s v="集团TOTAL"/>
    <s v="2025-06-09"/>
  </r>
  <r>
    <n v="28"/>
    <x v="27"/>
    <x v="2"/>
    <s v="Net result"/>
    <s v="FY2025"/>
    <n v="910"/>
    <s v="百万欧元"/>
    <s v="decathlon-group_global-annual-results-2025_press-release.pdf"/>
    <s v="3"/>
    <s v="Net result = 910 million euros"/>
    <x v="0"/>
    <x v="6"/>
    <n v="7098000"/>
    <s v="百万欧元×1000×7.8=千元人民币"/>
    <s v="集团TOTAL"/>
    <s v="2025-06-09"/>
  </r>
  <r>
    <n v="28"/>
    <x v="27"/>
    <x v="2"/>
    <s v="EBITDA"/>
    <s v="FY2025"/>
    <n v="1800"/>
    <s v="百万欧元"/>
    <s v="decathlon-group_global-annual-results-2025_press-release.pdf"/>
    <s v="3"/>
    <s v="EBITDA = 1.8 billion euros"/>
    <x v="0"/>
    <x v="33"/>
    <n v="14040000"/>
    <s v="百万欧元×1000×7.8=千元人民币"/>
    <s v="集团TOTAL, EBITDA"/>
    <s v="2025-06-09"/>
  </r>
  <r>
    <n v="28"/>
    <x v="27"/>
    <x v="2"/>
    <s v="Gross Merchandise Volume"/>
    <s v="FY2025"/>
    <n v="20700"/>
    <s v="百万欧元"/>
    <s v="decathlon-group_global-annual-results-2025_press-release.pdf"/>
    <s v="3"/>
    <s v="Gross Merchandise Volume (GMV) = 20.7 billion euros"/>
    <x v="0"/>
    <x v="34"/>
    <n v="161460000"/>
    <s v="百万欧元×1000×7.8=千元人民币"/>
    <s v="集团TOTAL, GMV含批发和零售总额"/>
    <s v="2025-06-09"/>
  </r>
  <r>
    <n v="28"/>
    <x v="27"/>
    <x v="2"/>
    <s v="Number of stores"/>
    <s v="FY2025"/>
    <n v="1902"/>
    <s v="家"/>
    <s v="decathlon-group_global-annual-results-2025_press-release.pdf"/>
    <s v="3"/>
    <s v="Number of stores = 1,902"/>
    <x v="0"/>
    <x v="15"/>
    <n v="1902"/>
    <s v="门店数直接存储"/>
    <s v="集团TOTAL, 全球门店数"/>
    <s v="2025-06-09"/>
  </r>
  <r>
    <n v="28"/>
    <x v="27"/>
    <x v="2"/>
    <s v="Digital sales share"/>
    <s v="FY2025"/>
    <n v="20.2"/>
    <s v="%"/>
    <s v="decathlon-group_global-annual-results-2025_press-release.pdf"/>
    <s v="3"/>
    <s v="Digital sales share (ecommerce, connected orders in stores, external marketplace) = 20.2%"/>
    <x v="0"/>
    <x v="32"/>
    <n v="20.2"/>
    <s v="百分比直接存储"/>
    <s v="集团TOTAL, 含电商、店内线上下单、外部市场"/>
    <s v="2025-06-09"/>
  </r>
  <r>
    <n v="28"/>
    <x v="27"/>
    <x v="2"/>
    <s v="Number of countries"/>
    <s v="FY2025"/>
    <n v="82"/>
    <s v="个"/>
    <s v="decathlon-group_global-annual-results-2025_press-release.pdf"/>
    <s v="3"/>
    <s v="Global presence = 82 countries/regions"/>
    <x v="0"/>
    <x v="35"/>
    <n v="82"/>
    <s v="国家数直接存储"/>
    <s v="集团TOTAL, 业务覆盖国家/地区数"/>
    <s v="2025-06-09"/>
  </r>
  <r>
    <n v="28"/>
    <x v="27"/>
    <x v="2"/>
    <s v="Number of teammates"/>
    <s v="FY2025"/>
    <n v="102913"/>
    <s v="人"/>
    <s v="decathlon-group_global-annual-results-2025_press-release.pdf"/>
    <s v="3"/>
    <s v="Number of Teammates = 102,913"/>
    <x v="0"/>
    <x v="36"/>
    <n v="102913"/>
    <s v="员工数直接存储"/>
    <s v="集团TOTAL, 全球员工数(Teammates)"/>
    <s v="2025-06-09"/>
  </r>
  <r>
    <n v="28"/>
    <x v="27"/>
    <x v="2"/>
    <s v="Net margin (Net result / Net sales)"/>
    <s v="FY2025"/>
    <n v="5.42"/>
    <s v="%"/>
    <s v="decathlon-group_global-annual-results-2025_press-release.pdf 计算"/>
    <s v="3"/>
    <s v="Net sales = 16.8 billion euros. Net result = 910 million euros"/>
    <x v="0"/>
    <x v="4"/>
    <n v="5.42"/>
    <s v="Net result (€910M) / Net sales (€16,800M) × 100%"/>
    <s v="集团TOTAL, 同比2024年4.86%回升"/>
    <s v="2025-06-09"/>
  </r>
  <r>
    <m/>
    <x v="28"/>
    <x v="9"/>
    <m/>
    <m/>
    <m/>
    <m/>
    <m/>
    <m/>
    <m/>
    <x v="4"/>
    <x v="14"/>
    <m/>
    <m/>
    <m/>
    <m/>
  </r>
  <r>
    <m/>
    <x v="28"/>
    <x v="9"/>
    <m/>
    <m/>
    <m/>
    <m/>
    <m/>
    <m/>
    <m/>
    <x v="4"/>
    <x v="14"/>
    <m/>
    <m/>
    <m/>
    <m/>
  </r>
  <r>
    <m/>
    <x v="28"/>
    <x v="9"/>
    <m/>
    <m/>
    <m/>
    <m/>
    <m/>
    <m/>
    <m/>
    <x v="4"/>
    <x v="14"/>
    <m/>
    <m/>
    <m/>
    <m/>
  </r>
  <r>
    <m/>
    <x v="28"/>
    <x v="9"/>
    <m/>
    <m/>
    <m/>
    <m/>
    <m/>
    <m/>
    <m/>
    <x v="4"/>
    <x v="1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CD3F16-1810-4E2C-9962-E20453A7384D}" name="PivotTable4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V59:Z68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x="2"/>
        <item h="1" x="1"/>
        <item h="1" x="4"/>
        <item h="1" x="5"/>
        <item h="1" x="0"/>
        <item h="1" x="3"/>
        <item h="1" x="9"/>
        <item h="1" x="6"/>
        <item h="1" m="1" x="12"/>
        <item h="1" m="1" x="10"/>
        <item h="1" m="1" x="13"/>
        <item h="1" x="7"/>
        <item h="1"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8">
    <i>
      <x v="2"/>
    </i>
    <i>
      <x v="5"/>
    </i>
    <i>
      <x v="11"/>
    </i>
    <i>
      <x v="16"/>
    </i>
    <i>
      <x v="18"/>
    </i>
    <i>
      <x v="24"/>
    </i>
    <i>
      <x v="2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10" hier="-1"/>
    <pageField fld="2" hier="-1"/>
  </pageFields>
  <dataFields count="1">
    <dataField name="平均值项:归一化指标数值" fld="12" subtotal="average" baseField="1" baseItem="2" numFmtId="165"/>
  </dataFields>
  <formats count="10">
    <format dxfId="0">
      <pivotArea type="all" dataOnly="0" outline="0" fieldPosition="0"/>
    </format>
    <format dxfId="1">
      <pivotArea outline="0" collapsedLevelsAreSubtotals="1" fieldPosition="0"/>
    </format>
    <format dxfId="2">
      <pivotArea type="origin" dataOnly="0" labelOnly="1" outline="0" fieldPosition="0"/>
    </format>
    <format dxfId="3">
      <pivotArea field="10" type="button" dataOnly="0" labelOnly="1" outline="0" axis="axisCol" fieldPosition="0"/>
    </format>
    <format dxfId="4">
      <pivotArea type="topRight" dataOnly="0" labelOnly="1" outline="0" fieldPosition="0"/>
    </format>
    <format dxfId="5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9">
            <x v="2"/>
            <x v="5"/>
            <x v="9"/>
            <x v="11"/>
            <x v="16"/>
            <x v="19"/>
            <x v="20"/>
            <x v="24"/>
            <x v="25"/>
          </reference>
        </references>
      </pivotArea>
    </format>
    <format dxfId="7">
      <pivotArea dataOnly="0" labelOnly="1" grandRow="1" outline="0" fieldPosition="0"/>
    </format>
    <format dxfId="8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E4889-AB5F-45B5-A353-1AFE875D52CB}" name="PivotTable3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V41:W43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">
    <i t="grand">
      <x/>
    </i>
  </rowItems>
  <colFields count="1">
    <field x="10"/>
  </colFields>
  <colItems count="1">
    <i t="grand">
      <x/>
    </i>
  </colItems>
  <pageFields count="2">
    <pageField fld="11" item="10" hier="-1"/>
    <pageField fld="2" hier="-1"/>
  </pageFields>
  <dataFields count="1">
    <dataField name="平均值项:归一化指标数值" fld="12" subtotal="average" baseField="1" baseItem="0" numFmtId="165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type="origin" dataOnly="0" labelOnly="1" outline="0" fieldPosition="0"/>
    </format>
    <format dxfId="13">
      <pivotArea field="10" type="button" dataOnly="0" labelOnly="1" outline="0" axis="axisCol" fieldPosition="0"/>
    </format>
    <format dxfId="14">
      <pivotArea type="topRight" dataOnly="0" labelOnly="1" outline="0" fieldPosition="0"/>
    </format>
    <format dxfId="15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9">
            <x v="0"/>
            <x v="1"/>
            <x v="6"/>
            <x v="10"/>
            <x v="13"/>
            <x v="17"/>
            <x v="19"/>
            <x v="21"/>
            <x v="22"/>
          </reference>
        </references>
      </pivotArea>
    </format>
    <format dxfId="17">
      <pivotArea dataOnly="0" labelOnly="1" grandRow="1" outline="0" fieldPosition="0"/>
    </format>
    <format dxfId="18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1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65803-F472-4883-9754-3515E69882CF}" name="数据透视表1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P23:T38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x="2"/>
        <item h="1" x="1"/>
        <item h="1" x="4"/>
        <item h="1" x="5"/>
        <item h="1" x="0"/>
        <item h="1" x="3"/>
        <item h="1" x="9"/>
        <item h="1" x="6"/>
        <item h="1" m="1" x="12"/>
        <item h="1" m="1" x="10"/>
        <item h="1" m="1" x="13"/>
        <item h="1" x="7"/>
        <item h="1"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h="1"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4">
    <i>
      <x v="2"/>
    </i>
    <i>
      <x v="4"/>
    </i>
    <i>
      <x v="5"/>
    </i>
    <i>
      <x v="9"/>
    </i>
    <i>
      <x v="11"/>
    </i>
    <i>
      <x v="15"/>
    </i>
    <i>
      <x v="16"/>
    </i>
    <i>
      <x v="19"/>
    </i>
    <i>
      <x v="20"/>
    </i>
    <i>
      <x v="24"/>
    </i>
    <i>
      <x v="25"/>
    </i>
    <i>
      <x v="28"/>
    </i>
    <i>
      <x v="29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3" hier="-1"/>
    <pageField fld="2" hier="-1"/>
  </pageFields>
  <dataFields count="1">
    <dataField name="平均值项:归一化指标数值" fld="12" subtotal="average" baseField="1" baseItem="2" numFmtId="165"/>
  </dataFields>
  <formats count="10">
    <format dxfId="79">
      <pivotArea type="all" dataOnly="0" outline="0" fieldPosition="0"/>
    </format>
    <format dxfId="80">
      <pivotArea outline="0" collapsedLevelsAreSubtotals="1" fieldPosition="0"/>
    </format>
    <format dxfId="81">
      <pivotArea type="origin" dataOnly="0" labelOnly="1" outline="0" fieldPosition="0"/>
    </format>
    <format dxfId="82">
      <pivotArea field="10" type="button" dataOnly="0" labelOnly="1" outline="0" axis="axisCol" fieldPosition="0"/>
    </format>
    <format dxfId="83">
      <pivotArea type="topRight" dataOnly="0" labelOnly="1" outline="0" fieldPosition="0"/>
    </format>
    <format dxfId="84">
      <pivotArea field="1" type="button" dataOnly="0" labelOnly="1" outline="0" axis="axisRow" fieldPosition="0"/>
    </format>
    <format dxfId="85">
      <pivotArea dataOnly="0" labelOnly="1" fieldPosition="0">
        <references count="1">
          <reference field="1" count="11">
            <x v="2"/>
            <x v="4"/>
            <x v="5"/>
            <x v="9"/>
            <x v="11"/>
            <x v="15"/>
            <x v="16"/>
            <x v="19"/>
            <x v="20"/>
            <x v="24"/>
            <x v="25"/>
          </reference>
        </references>
      </pivotArea>
    </format>
    <format dxfId="86">
      <pivotArea dataOnly="0" labelOnly="1" grandRow="1" outline="0" fieldPosition="0"/>
    </format>
    <format dxfId="8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8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DE9A4B-3111-4AB5-BB8A-9CD5B225538D}" name="数据透视表6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V5:Z16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6"/>
    </i>
    <i>
      <x v="10"/>
    </i>
    <i>
      <x v="13"/>
    </i>
    <i>
      <x v="17"/>
    </i>
    <i>
      <x v="19"/>
    </i>
    <i>
      <x v="21"/>
    </i>
    <i>
      <x v="2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11" hier="-1"/>
    <pageField fld="2" hier="-1"/>
  </pageFields>
  <dataFields count="1">
    <dataField name="平均值项:归一化指标数值" fld="12" subtotal="average" baseField="1" baseItem="0" numFmtId="165"/>
  </dataFields>
  <formats count="10">
    <format dxfId="99">
      <pivotArea type="all" dataOnly="0" outline="0" fieldPosition="0"/>
    </format>
    <format dxfId="100">
      <pivotArea outline="0" collapsedLevelsAreSubtotals="1" fieldPosition="0"/>
    </format>
    <format dxfId="101">
      <pivotArea type="origin" dataOnly="0" labelOnly="1" outline="0" fieldPosition="0"/>
    </format>
    <format dxfId="102">
      <pivotArea field="10" type="button" dataOnly="0" labelOnly="1" outline="0" axis="axisCol" fieldPosition="0"/>
    </format>
    <format dxfId="103">
      <pivotArea type="topRight" dataOnly="0" labelOnly="1" outline="0" fieldPosition="0"/>
    </format>
    <format dxfId="104">
      <pivotArea field="1" type="button" dataOnly="0" labelOnly="1" outline="0" axis="axisRow" fieldPosition="0"/>
    </format>
    <format dxfId="105">
      <pivotArea dataOnly="0" labelOnly="1" fieldPosition="0">
        <references count="1">
          <reference field="1" count="9">
            <x v="0"/>
            <x v="1"/>
            <x v="6"/>
            <x v="10"/>
            <x v="13"/>
            <x v="17"/>
            <x v="19"/>
            <x v="21"/>
            <x v="22"/>
          </reference>
        </references>
      </pivotArea>
    </format>
    <format dxfId="106">
      <pivotArea dataOnly="0" labelOnly="1" grandRow="1" outline="0" fieldPosition="0"/>
    </format>
    <format dxfId="10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10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BF3EE5-036C-4BB7-A5A7-2557C912A782}" name="数据透视表2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P5:T15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6"/>
    </i>
    <i>
      <x v="10"/>
    </i>
    <i>
      <x v="13"/>
    </i>
    <i>
      <x v="17"/>
    </i>
    <i>
      <x v="21"/>
    </i>
    <i>
      <x v="22"/>
    </i>
    <i>
      <x v="2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3" hier="-1"/>
    <pageField fld="2" hier="-1"/>
  </pageFields>
  <dataFields count="1">
    <dataField name="平均值项:归一化指标数值" fld="12" subtotal="average" baseField="1" baseItem="0" numFmtId="165"/>
  </dataFields>
  <formats count="10">
    <format dxfId="89">
      <pivotArea type="all" dataOnly="0" outline="0" fieldPosition="0"/>
    </format>
    <format dxfId="90">
      <pivotArea outline="0" collapsedLevelsAreSubtotals="1" fieldPosition="0"/>
    </format>
    <format dxfId="91">
      <pivotArea type="origin" dataOnly="0" labelOnly="1" outline="0" fieldPosition="0"/>
    </format>
    <format dxfId="92">
      <pivotArea field="10" type="button" dataOnly="0" labelOnly="1" outline="0" axis="axisCol" fieldPosition="0"/>
    </format>
    <format dxfId="93">
      <pivotArea type="topRight" dataOnly="0" labelOnly="1" outline="0" fieldPosition="0"/>
    </format>
    <format dxfId="94">
      <pivotArea field="1" type="button" dataOnly="0" labelOnly="1" outline="0" axis="axisRow" fieldPosition="0"/>
    </format>
    <format dxfId="95">
      <pivotArea dataOnly="0" labelOnly="1" fieldPosition="0">
        <references count="1">
          <reference field="1" count="8">
            <x v="0"/>
            <x v="6"/>
            <x v="10"/>
            <x v="13"/>
            <x v="17"/>
            <x v="21"/>
            <x v="22"/>
            <x v="23"/>
          </reference>
        </references>
      </pivotArea>
    </format>
    <format dxfId="96">
      <pivotArea dataOnly="0" labelOnly="1" grandRow="1" outline="0" fieldPosition="0"/>
    </format>
    <format dxfId="9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9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AAD503-CAE5-4A91-85B0-95A4B59705DC}" name="数据透视表10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B5:AF10" firstHeaderRow="1" firstDataRow="2" firstDataCol="1" rowPageCount="2" colPageCount="1"/>
  <pivotFields count="16">
    <pivotField showAll="0"/>
    <pivotField axis="axisPage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Row" showAll="0">
      <items count="41">
        <item h="1" x="12"/>
        <item h="1" x="3"/>
        <item h="1" x="5"/>
        <item h="1" x="4"/>
        <item h="1" x="6"/>
        <item h="1" x="11"/>
        <item h="1" x="1"/>
        <item h="1" x="2"/>
        <item h="1" x="0"/>
        <item h="1" x="14"/>
        <item h="1" x="13"/>
        <item h="1" x="10"/>
        <item h="1" x="15"/>
        <item h="1" x="16"/>
        <item x="7"/>
        <item x="8"/>
        <item x="9"/>
        <item h="1" m="1" x="37"/>
        <item h="1" m="1" x="38"/>
        <item h="1" m="1" x="39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t="default"/>
      </items>
    </pivotField>
    <pivotField dataField="1" showAll="0"/>
    <pivotField showAll="0"/>
    <pivotField showAll="0"/>
    <pivotField showAll="0"/>
  </pivotFields>
  <rowFields count="1">
    <field x="11"/>
  </rowFields>
  <rowItems count="4">
    <i>
      <x v="14"/>
    </i>
    <i>
      <x v="15"/>
    </i>
    <i>
      <x v="16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2" hier="-1"/>
    <pageField fld="1" item="10" hier="-1"/>
  </pageFields>
  <dataFields count="1">
    <dataField name="求和项:归一化指标数值" fld="12" baseField="11" baseItem="19" numFmtId="165"/>
  </dataFields>
  <formats count="10">
    <format dxfId="69">
      <pivotArea type="all" dataOnly="0" outline="0" fieldPosition="0"/>
    </format>
    <format dxfId="70">
      <pivotArea outline="0" collapsedLevelsAreSubtotals="1" fieldPosition="0"/>
    </format>
    <format dxfId="71">
      <pivotArea type="origin" dataOnly="0" labelOnly="1" outline="0" fieldPosition="0"/>
    </format>
    <format dxfId="72">
      <pivotArea field="10" type="button" dataOnly="0" labelOnly="1" outline="0" axis="axisCol" fieldPosition="0"/>
    </format>
    <format dxfId="73">
      <pivotArea type="topRight" dataOnly="0" labelOnly="1" outline="0" fieldPosition="0"/>
    </format>
    <format dxfId="74">
      <pivotArea field="1" type="button" dataOnly="0" labelOnly="1" outline="0" axis="axisPage" fieldPosition="1"/>
    </format>
    <format dxfId="75">
      <pivotArea dataOnly="0" labelOnly="1" fieldPosition="0">
        <references count="1">
          <reference field="1" count="9">
            <x v="0"/>
            <x v="1"/>
            <x v="6"/>
            <x v="10"/>
            <x v="13"/>
            <x v="17"/>
            <x v="19"/>
            <x v="21"/>
            <x v="22"/>
          </reference>
        </references>
      </pivotArea>
    </format>
    <format dxfId="76">
      <pivotArea dataOnly="0" labelOnly="1" grandRow="1" outline="0" fieldPosition="0"/>
    </format>
    <format dxfId="7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7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3C182-8F2D-4029-814E-9410BD847936}" name="数据透视表3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5:E33" firstHeaderRow="1" firstDataRow="2" firstDataCol="1" rowPageCount="2" colPageCount="1"/>
  <pivotFields count="16">
    <pivotField showAll="0"/>
    <pivotField axis="axisRow" showAll="0" sortType="descending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h="1"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27">
    <i>
      <x v="10"/>
    </i>
    <i>
      <x v="6"/>
    </i>
    <i>
      <x v="4"/>
    </i>
    <i>
      <x v="8"/>
    </i>
    <i>
      <x v="17"/>
    </i>
    <i>
      <x v="22"/>
    </i>
    <i>
      <x v="1"/>
    </i>
    <i>
      <x v="23"/>
    </i>
    <i>
      <x v="24"/>
    </i>
    <i>
      <x/>
    </i>
    <i>
      <x v="5"/>
    </i>
    <i>
      <x v="25"/>
    </i>
    <i>
      <x v="20"/>
    </i>
    <i>
      <x v="16"/>
    </i>
    <i>
      <x v="9"/>
    </i>
    <i>
      <x v="14"/>
    </i>
    <i>
      <x v="15"/>
    </i>
    <i>
      <x v="13"/>
    </i>
    <i>
      <x v="2"/>
    </i>
    <i>
      <x v="7"/>
    </i>
    <i>
      <x v="3"/>
    </i>
    <i>
      <x v="11"/>
    </i>
    <i>
      <x v="12"/>
    </i>
    <i>
      <x v="18"/>
    </i>
    <i>
      <x v="21"/>
    </i>
    <i>
      <x v="19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8" hier="-1"/>
    <pageField fld="2" hier="-1"/>
  </pageFields>
  <dataFields count="1">
    <dataField name="平均值项:归一化指标数值" fld="12" subtotal="average" baseField="1" baseItem="0" numFmtId="164"/>
  </dataFields>
  <formats count="5">
    <format dxfId="64">
      <pivotArea outline="0" collapsedLevelsAreSubtotals="1" fieldPosition="0"/>
    </format>
    <format dxfId="65">
      <pivotArea field="10" type="button" dataOnly="0" labelOnly="1" outline="0" axis="axisCol" fieldPosition="0"/>
    </format>
    <format dxfId="66">
      <pivotArea type="topRight" dataOnly="0" labelOnly="1" outline="0" fieldPosition="0"/>
    </format>
    <format dxfId="6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6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8AA02-D610-4318-97CF-3F03C4F759E0}" name="数据透视表5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23:N39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x="2"/>
        <item h="1" x="1"/>
        <item h="1" x="4"/>
        <item h="1" x="5"/>
        <item h="1" x="0"/>
        <item h="1" x="3"/>
        <item h="1" x="9"/>
        <item h="1" x="6"/>
        <item h="1" m="1" x="12"/>
        <item h="1" m="1" x="10"/>
        <item h="1" m="1" x="13"/>
        <item h="1" x="7"/>
        <item h="1"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5">
    <i>
      <x v="2"/>
    </i>
    <i>
      <x v="4"/>
    </i>
    <i>
      <x v="5"/>
    </i>
    <i>
      <x v="9"/>
    </i>
    <i>
      <x v="11"/>
    </i>
    <i>
      <x v="14"/>
    </i>
    <i>
      <x v="15"/>
    </i>
    <i>
      <x v="16"/>
    </i>
    <i>
      <x v="18"/>
    </i>
    <i>
      <x v="19"/>
    </i>
    <i>
      <x v="20"/>
    </i>
    <i>
      <x v="24"/>
    </i>
    <i>
      <x v="25"/>
    </i>
    <i>
      <x v="28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7" hier="-1"/>
    <pageField fld="2" hier="-1"/>
  </pageFields>
  <dataFields count="1">
    <dataField name="平均值项:归一化指标数值" fld="12" subtotal="average" baseField="1" baseItem="2" numFmtId="165"/>
  </dataFields>
  <formats count="5">
    <format dxfId="59">
      <pivotArea outline="0" collapsedLevelsAreSubtotals="1" fieldPosition="0"/>
    </format>
    <format dxfId="60">
      <pivotArea field="10" type="button" dataOnly="0" labelOnly="1" outline="0" axis="axisCol" fieldPosition="0"/>
    </format>
    <format dxfId="61">
      <pivotArea type="topRight" dataOnly="0" labelOnly="1" outline="0" fieldPosition="0"/>
    </format>
    <format dxfId="62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6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0EDA84-813C-4F5A-9163-64CB769F0CF1}" name="数据透视表7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V23:Z34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x="2"/>
        <item h="1" x="1"/>
        <item h="1" x="4"/>
        <item h="1" x="5"/>
        <item h="1" x="0"/>
        <item h="1" x="3"/>
        <item h="1" x="9"/>
        <item h="1" x="6"/>
        <item h="1" m="1" x="12"/>
        <item h="1" m="1" x="10"/>
        <item h="1" m="1" x="13"/>
        <item h="1" x="7"/>
        <item h="1"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0">
    <i>
      <x v="2"/>
    </i>
    <i>
      <x v="5"/>
    </i>
    <i>
      <x v="9"/>
    </i>
    <i>
      <x v="11"/>
    </i>
    <i>
      <x v="16"/>
    </i>
    <i>
      <x v="19"/>
    </i>
    <i>
      <x v="20"/>
    </i>
    <i>
      <x v="24"/>
    </i>
    <i>
      <x v="25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11" hier="-1"/>
    <pageField fld="2" hier="-1"/>
  </pageFields>
  <dataFields count="1">
    <dataField name="平均值项:归一化指标数值" fld="12" subtotal="average" baseField="1" baseItem="2" numFmtId="165"/>
  </dataFields>
  <formats count="10">
    <format dxfId="49">
      <pivotArea type="all" dataOnly="0" outline="0" fieldPosition="0"/>
    </format>
    <format dxfId="50">
      <pivotArea outline="0" collapsedLevelsAreSubtotals="1" fieldPosition="0"/>
    </format>
    <format dxfId="51">
      <pivotArea type="origin" dataOnly="0" labelOnly="1" outline="0" fieldPosition="0"/>
    </format>
    <format dxfId="52">
      <pivotArea field="10" type="button" dataOnly="0" labelOnly="1" outline="0" axis="axisCol" fieldPosition="0"/>
    </format>
    <format dxfId="53">
      <pivotArea type="topRight" dataOnly="0" labelOnly="1" outline="0" fieldPosition="0"/>
    </format>
    <format dxfId="54">
      <pivotArea field="1" type="button" dataOnly="0" labelOnly="1" outline="0" axis="axisRow" fieldPosition="0"/>
    </format>
    <format dxfId="55">
      <pivotArea dataOnly="0" labelOnly="1" fieldPosition="0">
        <references count="1">
          <reference field="1" count="9">
            <x v="2"/>
            <x v="5"/>
            <x v="9"/>
            <x v="11"/>
            <x v="16"/>
            <x v="19"/>
            <x v="20"/>
            <x v="24"/>
            <x v="25"/>
          </reference>
        </references>
      </pivotArea>
    </format>
    <format dxfId="56">
      <pivotArea dataOnly="0" labelOnly="1" grandRow="1" outline="0" fieldPosition="0"/>
    </format>
    <format dxfId="5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E69EE4-748D-49DF-9F56-AF1470859565}" name="数据透视表4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J5:N17" firstHeaderRow="1" firstDataRow="2" firstDataCol="1" rowPageCount="2" colPageCount="1"/>
  <pivotFields count="16">
    <pivotField showAll="0"/>
    <pivotField axis="axisRow" showAll="0">
      <items count="31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  <item t="default"/>
      </items>
    </pivotField>
    <pivotField axis="axisPage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6"/>
    </i>
    <i>
      <x v="10"/>
    </i>
    <i>
      <x v="13"/>
    </i>
    <i>
      <x v="17"/>
    </i>
    <i>
      <x v="19"/>
    </i>
    <i>
      <x v="21"/>
    </i>
    <i>
      <x v="22"/>
    </i>
    <i>
      <x v="23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2">
    <pageField fld="11" item="7" hier="-1"/>
    <pageField fld="2" hier="-1"/>
  </pageFields>
  <dataFields count="1">
    <dataField name="平均值项:归一化指标数值" fld="12" subtotal="average" baseField="1" baseItem="0" numFmtId="165"/>
  </dataFields>
  <formats count="5">
    <format dxfId="44">
      <pivotArea outline="0" collapsedLevelsAreSubtotals="1" fieldPosition="0"/>
    </format>
    <format dxfId="45">
      <pivotArea field="10" type="button" dataOnly="0" labelOnly="1" outline="0" axis="axisCol" fieldPosition="0"/>
    </format>
    <format dxfId="46">
      <pivotArea type="topRight" dataOnly="0" labelOnly="1" outline="0" fieldPosition="0"/>
    </format>
    <format dxfId="47">
      <pivotArea dataOnly="0" labelOnly="1" fieldPosition="0">
        <references count="1">
          <reference field="10" count="3">
            <x v="0"/>
            <x v="1"/>
            <x v="2"/>
          </reference>
        </references>
      </pivotArea>
    </format>
    <format dxfId="4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7243E-DA06-4630-B6A0-A56C93FCDBF7}" name="数据透视表8" cacheId="77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G3:H30" firstHeaderRow="1" firstDataRow="1" firstDataCol="2" rowPageCount="1" colPageCount="1"/>
  <pivotFields count="16">
    <pivotField showAll="0"/>
    <pivotField axis="axisRow" outline="0" showAll="0" defaultSubtotal="0">
      <items count="30">
        <item x="14"/>
        <item x="4"/>
        <item x="7"/>
        <item x="21"/>
        <item x="25"/>
        <item x="11"/>
        <item x="8"/>
        <item x="20"/>
        <item x="24"/>
        <item x="6"/>
        <item x="0"/>
        <item x="13"/>
        <item x="23"/>
        <item x="3"/>
        <item x="19"/>
        <item x="17"/>
        <item x="9"/>
        <item x="1"/>
        <item x="22"/>
        <item x="10"/>
        <item x="5"/>
        <item x="2"/>
        <item x="15"/>
        <item x="16"/>
        <item x="12"/>
        <item x="18"/>
        <item x="28"/>
        <item m="1" x="29"/>
        <item x="26"/>
        <item x="27"/>
      </items>
    </pivotField>
    <pivotField axis="axisRow" multipleItemSelectionAllowed="1" showAll="0">
      <items count="15">
        <item h="1" x="2"/>
        <item x="1"/>
        <item x="4"/>
        <item h="1" x="5"/>
        <item x="0"/>
        <item x="3"/>
        <item x="9"/>
        <item x="6"/>
        <item m="1" x="12"/>
        <item h="1" m="1" x="10"/>
        <item h="1" m="1" x="13"/>
        <item h="1" x="7"/>
        <item x="8"/>
        <item h="1" m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4"/>
        <item x="3"/>
        <item t="default"/>
      </items>
    </pivotField>
    <pivotField axis="axisPage" showAll="0">
      <items count="41">
        <item x="12"/>
        <item x="3"/>
        <item x="5"/>
        <item x="4"/>
        <item x="6"/>
        <item x="11"/>
        <item x="1"/>
        <item x="2"/>
        <item x="0"/>
        <item x="14"/>
        <item x="13"/>
        <item x="10"/>
        <item x="15"/>
        <item x="16"/>
        <item x="7"/>
        <item x="8"/>
        <item x="9"/>
        <item m="1" x="37"/>
        <item m="1" x="38"/>
        <item m="1" x="3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showAll="0"/>
  </pivotFields>
  <rowFields count="2">
    <field x="1"/>
    <field x="2"/>
  </rowFields>
  <rowItems count="27">
    <i>
      <x/>
      <x v="4"/>
    </i>
    <i>
      <x v="1"/>
      <x v="1"/>
    </i>
    <i>
      <x v="2"/>
      <x v="5"/>
    </i>
    <i>
      <x v="3"/>
      <x v="1"/>
    </i>
    <i>
      <x v="4"/>
      <x v="12"/>
    </i>
    <i>
      <x v="5"/>
      <x v="5"/>
    </i>
    <i>
      <x v="6"/>
      <x v="1"/>
    </i>
    <i>
      <x v="7"/>
      <x v="2"/>
    </i>
    <i>
      <x v="8"/>
      <x v="1"/>
    </i>
    <i>
      <x v="9"/>
      <x v="2"/>
    </i>
    <i>
      <x v="10"/>
      <x v="4"/>
    </i>
    <i>
      <x v="11"/>
      <x v="2"/>
    </i>
    <i>
      <x v="12"/>
      <x v="1"/>
    </i>
    <i>
      <x v="13"/>
      <x v="4"/>
    </i>
    <i>
      <x v="14"/>
      <x v="1"/>
    </i>
    <i>
      <x v="15"/>
      <x v="2"/>
    </i>
    <i>
      <x v="16"/>
      <x v="2"/>
    </i>
    <i>
      <x v="17"/>
      <x v="4"/>
    </i>
    <i>
      <x v="18"/>
      <x v="2"/>
    </i>
    <i>
      <x v="19"/>
      <x v="5"/>
    </i>
    <i>
      <x v="20"/>
      <x v="5"/>
    </i>
    <i>
      <x v="21"/>
      <x v="4"/>
    </i>
    <i>
      <x v="22"/>
      <x v="4"/>
    </i>
    <i>
      <x v="23"/>
      <x v="4"/>
    </i>
    <i>
      <x v="24"/>
      <x v="2"/>
    </i>
    <i>
      <x v="25"/>
      <x v="1"/>
    </i>
    <i t="grand">
      <x/>
    </i>
  </rowItems>
  <colItems count="1">
    <i/>
  </colItems>
  <pageFields count="1">
    <pageField fld="11" item="8" hier="-1"/>
  </pageFields>
  <formats count="4">
    <format dxfId="109">
      <pivotArea outline="0" collapsedLevelsAreSubtotals="1" fieldPosition="0"/>
    </format>
    <format dxfId="110">
      <pivotArea field="10" type="button" dataOnly="0" labelOnly="1" outline="0"/>
    </format>
    <format dxfId="111">
      <pivotArea type="topRight" dataOnly="0" labelOnly="1" outline="0" fieldPosition="0"/>
    </format>
    <format dxfId="1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E52EC3-9F43-48DE-92C4-B74D77C41728}" name="数据透视表9" cacheId="2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H124:K128" firstHeaderRow="0" firstDataRow="1" firstDataCol="1"/>
  <pivotFields count="6">
    <pivotField showAll="0"/>
    <pivotField showAll="0"/>
    <pivotField dataField="1" numFmtId="10" showAll="0"/>
    <pivotField dataField="1" numFmtId="10" showAll="0"/>
    <pivotField dataField="1" showAll="0"/>
    <pivotField axis="axisRow" showAll="0">
      <items count="4">
        <item x="0"/>
        <item x="1"/>
        <item x="2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平均值项:净利率" fld="2" subtotal="average" baseField="5" baseItem="0" numFmtId="10"/>
    <dataField name="平均值项:毛利率" fld="3" subtotal="average" baseField="5" baseItem="0" numFmtId="10"/>
    <dataField name="平均值项:运营费用率" fld="4" subtotal="average" baseField="5" baseItem="0" numFmtId="166"/>
  </dataFields>
  <formats count="1">
    <format dxfId="1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2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78"/>
  <sheetViews>
    <sheetView tabSelected="1" workbookViewId="0">
      <pane ySplit="1" topLeftCell="A2" activePane="bottomLeft" state="frozen"/>
      <selection pane="bottomLeft" activeCell="R14" sqref="R14"/>
    </sheetView>
  </sheetViews>
  <sheetFormatPr defaultRowHeight="14.5"/>
  <cols>
    <col min="2" max="2" width="9.6328125" customWidth="1"/>
    <col min="4" max="4" width="19.36328125" customWidth="1"/>
    <col min="5" max="5" width="11.6328125" customWidth="1"/>
    <col min="6" max="6" width="21.6328125" style="2" bestFit="1" customWidth="1"/>
    <col min="8" max="8" width="24.90625" customWidth="1"/>
    <col min="11" max="11" width="12" customWidth="1"/>
    <col min="12" max="12" width="14.453125" customWidth="1"/>
    <col min="13" max="13" width="21.6328125" style="2" bestFit="1" customWidth="1"/>
    <col min="14" max="14" width="23.453125" customWidth="1"/>
    <col min="16" max="16" width="9.453125" bestFit="1" customWidth="1"/>
  </cols>
  <sheetData>
    <row r="1" spans="1:17">
      <c r="A1" t="s">
        <v>0</v>
      </c>
      <c r="B1" t="s">
        <v>1157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s="44" t="s">
        <v>10</v>
      </c>
      <c r="L1" s="44" t="s">
        <v>11</v>
      </c>
      <c r="M1" s="45" t="s">
        <v>12</v>
      </c>
      <c r="N1" t="s">
        <v>13</v>
      </c>
      <c r="O1" t="s">
        <v>14</v>
      </c>
      <c r="P1" t="s">
        <v>15</v>
      </c>
      <c r="Q1" t="s">
        <v>623</v>
      </c>
    </row>
    <row r="2" spans="1:17">
      <c r="A2">
        <v>18</v>
      </c>
      <c r="B2" t="s">
        <v>930</v>
      </c>
      <c r="C2" t="s">
        <v>586</v>
      </c>
      <c r="D2" t="s">
        <v>18</v>
      </c>
      <c r="E2" t="s">
        <v>51</v>
      </c>
      <c r="F2">
        <v>80219000000</v>
      </c>
      <c r="G2" t="s">
        <v>20</v>
      </c>
      <c r="H2" t="s">
        <v>21</v>
      </c>
      <c r="I2">
        <v>13</v>
      </c>
      <c r="J2" t="s">
        <v>22</v>
      </c>
      <c r="K2">
        <v>2025</v>
      </c>
      <c r="L2" t="s">
        <v>23</v>
      </c>
      <c r="M2">
        <v>80219000</v>
      </c>
      <c r="N2" t="s">
        <v>24</v>
      </c>
      <c r="O2" t="s">
        <v>25</v>
      </c>
      <c r="P2" t="s">
        <v>26</v>
      </c>
    </row>
    <row r="3" spans="1:17">
      <c r="A3">
        <v>18</v>
      </c>
      <c r="B3" t="s">
        <v>930</v>
      </c>
      <c r="C3" t="s">
        <v>586</v>
      </c>
      <c r="D3" t="s">
        <v>27</v>
      </c>
      <c r="E3" t="s">
        <v>51</v>
      </c>
      <c r="F3">
        <v>49734000000</v>
      </c>
      <c r="G3" t="s">
        <v>20</v>
      </c>
      <c r="H3" t="s">
        <v>21</v>
      </c>
      <c r="I3">
        <v>13</v>
      </c>
      <c r="J3" t="s">
        <v>28</v>
      </c>
      <c r="K3">
        <v>2025</v>
      </c>
      <c r="L3" t="s">
        <v>27</v>
      </c>
      <c r="M3">
        <v>49734000</v>
      </c>
      <c r="N3" t="s">
        <v>24</v>
      </c>
      <c r="O3" t="s">
        <v>25</v>
      </c>
      <c r="P3" t="s">
        <v>26</v>
      </c>
    </row>
    <row r="4" spans="1:17">
      <c r="A4">
        <v>18</v>
      </c>
      <c r="B4" t="s">
        <v>930</v>
      </c>
      <c r="C4" t="s">
        <v>586</v>
      </c>
      <c r="D4" t="s">
        <v>29</v>
      </c>
      <c r="E4" t="s">
        <v>51</v>
      </c>
      <c r="F4">
        <v>62</v>
      </c>
      <c r="G4" t="s">
        <v>30</v>
      </c>
      <c r="H4" t="s">
        <v>21</v>
      </c>
      <c r="I4">
        <v>13</v>
      </c>
      <c r="J4" t="s">
        <v>31</v>
      </c>
      <c r="K4">
        <v>2025</v>
      </c>
      <c r="L4" t="s">
        <v>29</v>
      </c>
      <c r="M4">
        <v>62</v>
      </c>
      <c r="N4" t="s">
        <v>32</v>
      </c>
      <c r="O4" t="s">
        <v>25</v>
      </c>
      <c r="P4" t="s">
        <v>26</v>
      </c>
    </row>
    <row r="5" spans="1:17">
      <c r="A5">
        <v>18</v>
      </c>
      <c r="B5" t="s">
        <v>930</v>
      </c>
      <c r="C5" t="s">
        <v>586</v>
      </c>
      <c r="D5" t="s">
        <v>33</v>
      </c>
      <c r="E5" t="s">
        <v>51</v>
      </c>
      <c r="F5">
        <v>19091000000</v>
      </c>
      <c r="G5" t="s">
        <v>20</v>
      </c>
      <c r="H5" t="s">
        <v>21</v>
      </c>
      <c r="I5">
        <v>13</v>
      </c>
      <c r="J5" t="s">
        <v>34</v>
      </c>
      <c r="K5">
        <v>2025</v>
      </c>
      <c r="L5" t="s">
        <v>35</v>
      </c>
      <c r="M5">
        <v>19091000</v>
      </c>
      <c r="N5" t="s">
        <v>24</v>
      </c>
      <c r="O5" t="s">
        <v>25</v>
      </c>
      <c r="P5" t="s">
        <v>26</v>
      </c>
    </row>
    <row r="6" spans="1:17">
      <c r="A6">
        <v>18</v>
      </c>
      <c r="B6" t="s">
        <v>930</v>
      </c>
      <c r="C6" t="s">
        <v>586</v>
      </c>
      <c r="D6" t="s">
        <v>36</v>
      </c>
      <c r="E6" t="s">
        <v>51</v>
      </c>
      <c r="F6">
        <v>19.5</v>
      </c>
      <c r="G6" t="s">
        <v>30</v>
      </c>
      <c r="H6" t="s">
        <v>21</v>
      </c>
      <c r="I6">
        <v>13</v>
      </c>
      <c r="J6" t="s">
        <v>37</v>
      </c>
      <c r="K6">
        <v>2025</v>
      </c>
      <c r="L6" t="s">
        <v>36</v>
      </c>
      <c r="M6">
        <v>19.5</v>
      </c>
      <c r="N6" t="s">
        <v>38</v>
      </c>
      <c r="O6" t="s">
        <v>25</v>
      </c>
      <c r="P6" t="s">
        <v>26</v>
      </c>
    </row>
    <row r="7" spans="1:17">
      <c r="A7">
        <v>18</v>
      </c>
      <c r="B7" t="s">
        <v>930</v>
      </c>
      <c r="C7" t="s">
        <v>586</v>
      </c>
      <c r="D7" t="s">
        <v>18</v>
      </c>
      <c r="E7" t="s">
        <v>57</v>
      </c>
      <c r="F7">
        <v>70826000000</v>
      </c>
      <c r="G7" t="s">
        <v>20</v>
      </c>
      <c r="H7" t="s">
        <v>21</v>
      </c>
      <c r="I7">
        <v>13</v>
      </c>
      <c r="J7" t="s">
        <v>40</v>
      </c>
      <c r="K7">
        <v>2024</v>
      </c>
      <c r="L7" t="s">
        <v>23</v>
      </c>
      <c r="M7">
        <v>70826000</v>
      </c>
      <c r="N7" t="s">
        <v>24</v>
      </c>
      <c r="O7" t="s">
        <v>25</v>
      </c>
      <c r="P7" t="s">
        <v>26</v>
      </c>
    </row>
    <row r="8" spans="1:17">
      <c r="A8">
        <v>18</v>
      </c>
      <c r="B8" t="s">
        <v>930</v>
      </c>
      <c r="C8" t="s">
        <v>586</v>
      </c>
      <c r="D8" t="s">
        <v>27</v>
      </c>
      <c r="E8" t="s">
        <v>57</v>
      </c>
      <c r="F8">
        <v>44032000000</v>
      </c>
      <c r="G8" t="s">
        <v>20</v>
      </c>
      <c r="H8" t="s">
        <v>21</v>
      </c>
      <c r="I8">
        <v>13</v>
      </c>
      <c r="J8" t="s">
        <v>41</v>
      </c>
      <c r="K8">
        <v>2024</v>
      </c>
      <c r="L8" t="s">
        <v>27</v>
      </c>
      <c r="M8">
        <v>44032000</v>
      </c>
      <c r="N8" t="s">
        <v>24</v>
      </c>
      <c r="O8" t="s">
        <v>25</v>
      </c>
      <c r="P8" t="s">
        <v>26</v>
      </c>
    </row>
    <row r="9" spans="1:17">
      <c r="A9">
        <v>18</v>
      </c>
      <c r="B9" t="s">
        <v>930</v>
      </c>
      <c r="C9" t="s">
        <v>586</v>
      </c>
      <c r="D9" t="s">
        <v>29</v>
      </c>
      <c r="E9" t="s">
        <v>57</v>
      </c>
      <c r="F9">
        <v>62.2</v>
      </c>
      <c r="G9" t="s">
        <v>30</v>
      </c>
      <c r="H9" t="s">
        <v>21</v>
      </c>
      <c r="I9">
        <v>13</v>
      </c>
      <c r="J9" t="s">
        <v>42</v>
      </c>
      <c r="K9">
        <v>2024</v>
      </c>
      <c r="L9" t="s">
        <v>29</v>
      </c>
      <c r="M9">
        <v>62.2</v>
      </c>
      <c r="N9" t="s">
        <v>32</v>
      </c>
      <c r="O9" t="s">
        <v>25</v>
      </c>
      <c r="P9" t="s">
        <v>26</v>
      </c>
    </row>
    <row r="10" spans="1:17">
      <c r="A10">
        <v>18</v>
      </c>
      <c r="B10" t="s">
        <v>930</v>
      </c>
      <c r="C10" t="s">
        <v>586</v>
      </c>
      <c r="D10" t="s">
        <v>33</v>
      </c>
      <c r="E10" t="s">
        <v>57</v>
      </c>
      <c r="F10">
        <v>16595000000</v>
      </c>
      <c r="G10" t="s">
        <v>20</v>
      </c>
      <c r="H10" t="s">
        <v>21</v>
      </c>
      <c r="I10">
        <v>13</v>
      </c>
      <c r="J10" t="s">
        <v>43</v>
      </c>
      <c r="K10">
        <v>2024</v>
      </c>
      <c r="L10" t="s">
        <v>35</v>
      </c>
      <c r="M10">
        <v>16595000</v>
      </c>
      <c r="N10" t="s">
        <v>24</v>
      </c>
      <c r="O10" t="s">
        <v>25</v>
      </c>
      <c r="P10" t="s">
        <v>26</v>
      </c>
    </row>
    <row r="11" spans="1:17">
      <c r="A11">
        <v>18</v>
      </c>
      <c r="B11" t="s">
        <v>930</v>
      </c>
      <c r="C11" t="s">
        <v>586</v>
      </c>
      <c r="D11" t="s">
        <v>36</v>
      </c>
      <c r="E11" t="s">
        <v>57</v>
      </c>
      <c r="F11" s="9">
        <v>24</v>
      </c>
      <c r="G11" t="s">
        <v>30</v>
      </c>
      <c r="H11" t="s">
        <v>21</v>
      </c>
      <c r="I11">
        <v>13</v>
      </c>
      <c r="J11" t="s">
        <v>44</v>
      </c>
      <c r="K11">
        <v>2024</v>
      </c>
      <c r="L11" t="s">
        <v>36</v>
      </c>
      <c r="M11">
        <v>24</v>
      </c>
      <c r="N11" t="s">
        <v>38</v>
      </c>
      <c r="O11" t="s">
        <v>25</v>
      </c>
      <c r="P11" t="s">
        <v>26</v>
      </c>
    </row>
    <row r="12" spans="1:17">
      <c r="A12">
        <v>18</v>
      </c>
      <c r="B12" t="s">
        <v>930</v>
      </c>
      <c r="C12" t="s">
        <v>586</v>
      </c>
      <c r="D12" t="s">
        <v>18</v>
      </c>
      <c r="E12" t="s">
        <v>62</v>
      </c>
      <c r="F12" s="9">
        <v>62356000000</v>
      </c>
      <c r="G12" t="s">
        <v>20</v>
      </c>
      <c r="H12" t="s">
        <v>21</v>
      </c>
      <c r="I12">
        <v>13</v>
      </c>
      <c r="J12" t="s">
        <v>45</v>
      </c>
      <c r="K12">
        <v>2023</v>
      </c>
      <c r="L12" t="s">
        <v>23</v>
      </c>
      <c r="M12">
        <v>62356000</v>
      </c>
      <c r="N12" t="s">
        <v>24</v>
      </c>
      <c r="O12" t="s">
        <v>25</v>
      </c>
      <c r="P12" t="s">
        <v>26</v>
      </c>
    </row>
    <row r="13" spans="1:17">
      <c r="A13">
        <v>18</v>
      </c>
      <c r="B13" t="s">
        <v>930</v>
      </c>
      <c r="C13" t="s">
        <v>586</v>
      </c>
      <c r="D13" t="s">
        <v>27</v>
      </c>
      <c r="E13" t="s">
        <v>62</v>
      </c>
      <c r="F13" s="9">
        <v>39028000000</v>
      </c>
      <c r="G13" t="s">
        <v>20</v>
      </c>
      <c r="H13" t="s">
        <v>21</v>
      </c>
      <c r="I13">
        <v>13</v>
      </c>
      <c r="J13" t="s">
        <v>46</v>
      </c>
      <c r="K13">
        <v>2023</v>
      </c>
      <c r="L13" t="s">
        <v>27</v>
      </c>
      <c r="M13">
        <v>39028000</v>
      </c>
      <c r="N13" t="s">
        <v>24</v>
      </c>
      <c r="O13" t="s">
        <v>25</v>
      </c>
      <c r="P13" t="s">
        <v>26</v>
      </c>
    </row>
    <row r="14" spans="1:17">
      <c r="A14">
        <v>18</v>
      </c>
      <c r="B14" t="s">
        <v>930</v>
      </c>
      <c r="C14" t="s">
        <v>586</v>
      </c>
      <c r="D14" t="s">
        <v>29</v>
      </c>
      <c r="E14" t="s">
        <v>62</v>
      </c>
      <c r="F14" s="9">
        <v>62.6</v>
      </c>
      <c r="G14" t="s">
        <v>30</v>
      </c>
      <c r="H14" t="s">
        <v>21</v>
      </c>
      <c r="I14">
        <v>13</v>
      </c>
      <c r="J14" t="s">
        <v>47</v>
      </c>
      <c r="K14">
        <v>2023</v>
      </c>
      <c r="L14" t="s">
        <v>29</v>
      </c>
      <c r="M14">
        <v>62.6</v>
      </c>
      <c r="N14" t="s">
        <v>32</v>
      </c>
      <c r="O14" t="s">
        <v>25</v>
      </c>
      <c r="P14" t="s">
        <v>26</v>
      </c>
    </row>
    <row r="15" spans="1:17">
      <c r="A15">
        <v>18</v>
      </c>
      <c r="B15" t="s">
        <v>930</v>
      </c>
      <c r="C15" t="s">
        <v>586</v>
      </c>
      <c r="D15" t="s">
        <v>33</v>
      </c>
      <c r="E15" t="s">
        <v>62</v>
      </c>
      <c r="F15" s="9">
        <v>15367000000</v>
      </c>
      <c r="G15" t="s">
        <v>20</v>
      </c>
      <c r="H15" t="s">
        <v>21</v>
      </c>
      <c r="I15">
        <v>13</v>
      </c>
      <c r="J15" t="s">
        <v>48</v>
      </c>
      <c r="K15">
        <v>2023</v>
      </c>
      <c r="L15" t="s">
        <v>35</v>
      </c>
      <c r="M15">
        <v>15367000</v>
      </c>
      <c r="N15" t="s">
        <v>24</v>
      </c>
      <c r="O15" t="s">
        <v>25</v>
      </c>
      <c r="P15" t="s">
        <v>26</v>
      </c>
    </row>
    <row r="16" spans="1:17">
      <c r="A16">
        <v>18</v>
      </c>
      <c r="B16" t="s">
        <v>930</v>
      </c>
      <c r="C16" t="s">
        <v>586</v>
      </c>
      <c r="D16" t="s">
        <v>36</v>
      </c>
      <c r="E16" t="s">
        <v>62</v>
      </c>
      <c r="F16" s="9">
        <v>16.420000000000002</v>
      </c>
      <c r="G16" t="s">
        <v>30</v>
      </c>
      <c r="H16" t="s">
        <v>21</v>
      </c>
      <c r="I16">
        <v>13</v>
      </c>
      <c r="J16" t="s">
        <v>49</v>
      </c>
      <c r="K16">
        <v>2023</v>
      </c>
      <c r="L16" t="s">
        <v>36</v>
      </c>
      <c r="M16">
        <v>16.420000000000002</v>
      </c>
      <c r="N16" t="s">
        <v>38</v>
      </c>
      <c r="O16" t="s">
        <v>25</v>
      </c>
      <c r="P16" t="s">
        <v>26</v>
      </c>
    </row>
    <row r="17" spans="1:16">
      <c r="A17">
        <v>17</v>
      </c>
      <c r="B17" t="s">
        <v>935</v>
      </c>
      <c r="C17" t="s">
        <v>586</v>
      </c>
      <c r="D17" t="s">
        <v>18</v>
      </c>
      <c r="E17" t="s">
        <v>51</v>
      </c>
      <c r="F17" s="9">
        <v>29598000000</v>
      </c>
      <c r="G17" t="s">
        <v>20</v>
      </c>
      <c r="H17" t="s">
        <v>52</v>
      </c>
      <c r="I17">
        <v>10</v>
      </c>
      <c r="J17" t="s">
        <v>53</v>
      </c>
      <c r="K17">
        <v>2025</v>
      </c>
      <c r="L17" t="s">
        <v>23</v>
      </c>
      <c r="M17">
        <v>29598000</v>
      </c>
      <c r="N17" t="s">
        <v>24</v>
      </c>
      <c r="O17" t="s">
        <v>25</v>
      </c>
      <c r="P17" t="s">
        <v>26</v>
      </c>
    </row>
    <row r="18" spans="1:16">
      <c r="A18">
        <v>17</v>
      </c>
      <c r="B18" t="s">
        <v>935</v>
      </c>
      <c r="C18" t="s">
        <v>586</v>
      </c>
      <c r="D18" t="s">
        <v>27</v>
      </c>
      <c r="E18" t="s">
        <v>51</v>
      </c>
      <c r="F18" s="9">
        <v>14489000000</v>
      </c>
      <c r="G18" t="s">
        <v>20</v>
      </c>
      <c r="H18" t="s">
        <v>52</v>
      </c>
      <c r="I18">
        <v>10</v>
      </c>
      <c r="J18" t="s">
        <v>54</v>
      </c>
      <c r="K18">
        <v>2025</v>
      </c>
      <c r="L18" t="s">
        <v>27</v>
      </c>
      <c r="M18">
        <v>14489000</v>
      </c>
      <c r="N18" t="s">
        <v>24</v>
      </c>
      <c r="O18" t="s">
        <v>25</v>
      </c>
      <c r="P18" t="s">
        <v>26</v>
      </c>
    </row>
    <row r="19" spans="1:16">
      <c r="A19">
        <v>17</v>
      </c>
      <c r="B19" t="s">
        <v>935</v>
      </c>
      <c r="C19" t="s">
        <v>586</v>
      </c>
      <c r="D19" t="s">
        <v>29</v>
      </c>
      <c r="E19" t="s">
        <v>51</v>
      </c>
      <c r="F19" s="9">
        <v>49</v>
      </c>
      <c r="G19" t="s">
        <v>30</v>
      </c>
      <c r="H19" t="s">
        <v>52</v>
      </c>
      <c r="I19">
        <v>10</v>
      </c>
      <c r="J19" t="s">
        <v>55</v>
      </c>
      <c r="K19">
        <v>2025</v>
      </c>
      <c r="L19" t="s">
        <v>29</v>
      </c>
      <c r="M19">
        <v>49</v>
      </c>
      <c r="N19" t="s">
        <v>32</v>
      </c>
      <c r="O19" t="s">
        <v>25</v>
      </c>
      <c r="P19" t="s">
        <v>26</v>
      </c>
    </row>
    <row r="20" spans="1:16">
      <c r="A20">
        <v>17</v>
      </c>
      <c r="B20" t="s">
        <v>935</v>
      </c>
      <c r="C20" t="s">
        <v>586</v>
      </c>
      <c r="D20" t="s">
        <v>36</v>
      </c>
      <c r="E20" t="s">
        <v>51</v>
      </c>
      <c r="F20" s="9">
        <v>9.9</v>
      </c>
      <c r="G20" t="s">
        <v>30</v>
      </c>
      <c r="H20" t="s">
        <v>52</v>
      </c>
      <c r="I20">
        <v>10</v>
      </c>
      <c r="J20" t="s">
        <v>56</v>
      </c>
      <c r="K20">
        <v>2025</v>
      </c>
      <c r="L20" t="s">
        <v>36</v>
      </c>
      <c r="M20">
        <v>9.9</v>
      </c>
      <c r="N20" t="s">
        <v>38</v>
      </c>
      <c r="O20" t="s">
        <v>25</v>
      </c>
      <c r="P20" t="s">
        <v>26</v>
      </c>
    </row>
    <row r="21" spans="1:16">
      <c r="A21">
        <v>17</v>
      </c>
      <c r="B21" t="s">
        <v>935</v>
      </c>
      <c r="C21" t="s">
        <v>586</v>
      </c>
      <c r="D21" t="s">
        <v>18</v>
      </c>
      <c r="E21" t="s">
        <v>57</v>
      </c>
      <c r="F21" s="9">
        <v>28676000000</v>
      </c>
      <c r="G21" t="s">
        <v>20</v>
      </c>
      <c r="H21" t="s">
        <v>52</v>
      </c>
      <c r="I21">
        <v>10</v>
      </c>
      <c r="J21" t="s">
        <v>58</v>
      </c>
      <c r="K21">
        <v>2024</v>
      </c>
      <c r="L21" t="s">
        <v>23</v>
      </c>
      <c r="M21">
        <v>28676000</v>
      </c>
      <c r="N21" t="s">
        <v>24</v>
      </c>
      <c r="O21" t="s">
        <v>25</v>
      </c>
      <c r="P21" t="s">
        <v>26</v>
      </c>
    </row>
    <row r="22" spans="1:16">
      <c r="A22">
        <v>17</v>
      </c>
      <c r="B22" t="s">
        <v>935</v>
      </c>
      <c r="C22" t="s">
        <v>586</v>
      </c>
      <c r="D22" t="s">
        <v>27</v>
      </c>
      <c r="E22" t="s">
        <v>57</v>
      </c>
      <c r="F22" s="9">
        <v>14156000000</v>
      </c>
      <c r="G22" t="s">
        <v>20</v>
      </c>
      <c r="H22" t="s">
        <v>52</v>
      </c>
      <c r="I22">
        <v>10</v>
      </c>
      <c r="J22" t="s">
        <v>59</v>
      </c>
      <c r="K22">
        <v>2024</v>
      </c>
      <c r="L22" t="s">
        <v>27</v>
      </c>
      <c r="M22">
        <v>14156000</v>
      </c>
      <c r="N22" t="s">
        <v>24</v>
      </c>
      <c r="O22" t="s">
        <v>25</v>
      </c>
      <c r="P22" t="s">
        <v>26</v>
      </c>
    </row>
    <row r="23" spans="1:16">
      <c r="A23">
        <v>17</v>
      </c>
      <c r="B23" t="s">
        <v>935</v>
      </c>
      <c r="C23" t="s">
        <v>586</v>
      </c>
      <c r="D23" t="s">
        <v>29</v>
      </c>
      <c r="E23" t="s">
        <v>57</v>
      </c>
      <c r="F23" s="9">
        <v>49.4</v>
      </c>
      <c r="G23" t="s">
        <v>30</v>
      </c>
      <c r="H23" t="s">
        <v>52</v>
      </c>
      <c r="I23">
        <v>10</v>
      </c>
      <c r="J23" t="s">
        <v>60</v>
      </c>
      <c r="K23">
        <v>2024</v>
      </c>
      <c r="L23" t="s">
        <v>29</v>
      </c>
      <c r="M23">
        <v>49.4</v>
      </c>
      <c r="N23" t="s">
        <v>32</v>
      </c>
      <c r="O23" t="s">
        <v>25</v>
      </c>
      <c r="P23" t="s">
        <v>26</v>
      </c>
    </row>
    <row r="24" spans="1:16">
      <c r="A24">
        <v>17</v>
      </c>
      <c r="B24" t="s">
        <v>935</v>
      </c>
      <c r="C24" t="s">
        <v>586</v>
      </c>
      <c r="D24" t="s">
        <v>36</v>
      </c>
      <c r="E24" t="s">
        <v>57</v>
      </c>
      <c r="F24" s="9">
        <v>8.8000000000000007</v>
      </c>
      <c r="G24" t="s">
        <v>30</v>
      </c>
      <c r="H24" t="s">
        <v>52</v>
      </c>
      <c r="I24">
        <v>10</v>
      </c>
      <c r="J24" t="s">
        <v>61</v>
      </c>
      <c r="K24">
        <v>2024</v>
      </c>
      <c r="L24" t="s">
        <v>36</v>
      </c>
      <c r="M24">
        <v>8.8000000000000007</v>
      </c>
      <c r="N24" t="s">
        <v>38</v>
      </c>
      <c r="O24" t="s">
        <v>25</v>
      </c>
      <c r="P24" t="s">
        <v>26</v>
      </c>
    </row>
    <row r="25" spans="1:16">
      <c r="A25">
        <v>17</v>
      </c>
      <c r="B25" t="s">
        <v>935</v>
      </c>
      <c r="C25" t="s">
        <v>586</v>
      </c>
      <c r="D25" t="s">
        <v>18</v>
      </c>
      <c r="E25" t="s">
        <v>62</v>
      </c>
      <c r="F25" s="9">
        <v>27598000000</v>
      </c>
      <c r="G25" t="s">
        <v>20</v>
      </c>
      <c r="H25" t="s">
        <v>52</v>
      </c>
      <c r="I25">
        <v>10</v>
      </c>
      <c r="J25" t="s">
        <v>63</v>
      </c>
      <c r="K25">
        <v>2023</v>
      </c>
      <c r="L25" t="s">
        <v>23</v>
      </c>
      <c r="M25">
        <v>27598000</v>
      </c>
      <c r="N25" t="s">
        <v>24</v>
      </c>
      <c r="O25" t="s">
        <v>25</v>
      </c>
      <c r="P25" t="s">
        <v>26</v>
      </c>
    </row>
    <row r="26" spans="1:16">
      <c r="A26">
        <v>17</v>
      </c>
      <c r="B26" t="s">
        <v>935</v>
      </c>
      <c r="C26" t="s">
        <v>586</v>
      </c>
      <c r="D26" t="s">
        <v>27</v>
      </c>
      <c r="E26" t="s">
        <v>62</v>
      </c>
      <c r="F26" s="9">
        <v>13361000000</v>
      </c>
      <c r="G26" t="s">
        <v>20</v>
      </c>
      <c r="H26" t="s">
        <v>52</v>
      </c>
      <c r="I26">
        <v>10</v>
      </c>
      <c r="J26" t="s">
        <v>64</v>
      </c>
      <c r="K26">
        <v>2023</v>
      </c>
      <c r="L26" t="s">
        <v>27</v>
      </c>
      <c r="M26">
        <v>13361000</v>
      </c>
      <c r="N26" t="s">
        <v>24</v>
      </c>
      <c r="O26" t="s">
        <v>25</v>
      </c>
      <c r="P26" t="s">
        <v>26</v>
      </c>
    </row>
    <row r="27" spans="1:16">
      <c r="A27">
        <v>17</v>
      </c>
      <c r="B27" t="s">
        <v>935</v>
      </c>
      <c r="C27" t="s">
        <v>586</v>
      </c>
      <c r="D27" t="s">
        <v>29</v>
      </c>
      <c r="E27" t="s">
        <v>62</v>
      </c>
      <c r="F27" s="9">
        <v>48.4</v>
      </c>
      <c r="G27" t="s">
        <v>30</v>
      </c>
      <c r="H27" t="s">
        <v>52</v>
      </c>
      <c r="I27">
        <v>10</v>
      </c>
      <c r="J27" t="s">
        <v>65</v>
      </c>
      <c r="K27">
        <v>2023</v>
      </c>
      <c r="L27" t="s">
        <v>29</v>
      </c>
      <c r="M27">
        <v>48.4</v>
      </c>
      <c r="N27" t="s">
        <v>32</v>
      </c>
      <c r="O27" t="s">
        <v>25</v>
      </c>
      <c r="P27" t="s">
        <v>26</v>
      </c>
    </row>
    <row r="28" spans="1:16">
      <c r="A28">
        <v>17</v>
      </c>
      <c r="B28" t="s">
        <v>935</v>
      </c>
      <c r="C28" t="s">
        <v>586</v>
      </c>
      <c r="D28" t="s">
        <v>36</v>
      </c>
      <c r="E28" t="s">
        <v>62</v>
      </c>
      <c r="F28" s="9">
        <v>8.6</v>
      </c>
      <c r="G28" t="s">
        <v>30</v>
      </c>
      <c r="H28" t="s">
        <v>52</v>
      </c>
      <c r="I28">
        <v>10</v>
      </c>
      <c r="J28" t="s">
        <v>66</v>
      </c>
      <c r="K28">
        <v>2023</v>
      </c>
      <c r="L28" t="s">
        <v>36</v>
      </c>
      <c r="M28">
        <v>8.6</v>
      </c>
      <c r="N28" t="s">
        <v>38</v>
      </c>
      <c r="O28" t="s">
        <v>25</v>
      </c>
      <c r="P28" t="s">
        <v>26</v>
      </c>
    </row>
    <row r="29" spans="1:16">
      <c r="A29">
        <v>20</v>
      </c>
      <c r="B29" t="s">
        <v>916</v>
      </c>
      <c r="C29" t="s">
        <v>586</v>
      </c>
      <c r="D29" t="s">
        <v>23</v>
      </c>
      <c r="E29" t="s">
        <v>51</v>
      </c>
      <c r="F29" s="9">
        <v>1380713096</v>
      </c>
      <c r="G29" t="s">
        <v>20</v>
      </c>
      <c r="H29" t="s">
        <v>70</v>
      </c>
      <c r="I29">
        <v>7</v>
      </c>
      <c r="J29" t="s">
        <v>71</v>
      </c>
      <c r="K29">
        <v>2025</v>
      </c>
      <c r="L29" t="s">
        <v>23</v>
      </c>
      <c r="M29">
        <v>1380713.0959999999</v>
      </c>
      <c r="N29" t="s">
        <v>72</v>
      </c>
      <c r="O29" t="s">
        <v>25</v>
      </c>
      <c r="P29" t="s">
        <v>26</v>
      </c>
    </row>
    <row r="30" spans="1:16">
      <c r="A30">
        <v>20</v>
      </c>
      <c r="B30" t="s">
        <v>916</v>
      </c>
      <c r="C30" t="s">
        <v>586</v>
      </c>
      <c r="D30" t="s">
        <v>27</v>
      </c>
      <c r="E30" t="s">
        <v>51</v>
      </c>
      <c r="F30" s="9">
        <v>656500000</v>
      </c>
      <c r="G30" t="s">
        <v>20</v>
      </c>
      <c r="H30" t="s">
        <v>70</v>
      </c>
      <c r="I30">
        <v>7</v>
      </c>
      <c r="J30" t="s">
        <v>73</v>
      </c>
      <c r="K30">
        <v>2025</v>
      </c>
      <c r="L30" t="s">
        <v>27</v>
      </c>
      <c r="M30">
        <v>656500</v>
      </c>
      <c r="N30" t="s">
        <v>72</v>
      </c>
      <c r="O30" t="s">
        <v>25</v>
      </c>
      <c r="P30" t="s">
        <v>26</v>
      </c>
    </row>
    <row r="31" spans="1:16">
      <c r="A31">
        <v>20</v>
      </c>
      <c r="B31" t="s">
        <v>916</v>
      </c>
      <c r="C31" t="s">
        <v>586</v>
      </c>
      <c r="D31" t="s">
        <v>29</v>
      </c>
      <c r="E31" t="s">
        <v>51</v>
      </c>
      <c r="F31" s="9">
        <v>47.57</v>
      </c>
      <c r="G31" t="s">
        <v>30</v>
      </c>
      <c r="H31" t="s">
        <v>70</v>
      </c>
      <c r="I31">
        <v>7</v>
      </c>
      <c r="J31" t="s">
        <v>74</v>
      </c>
      <c r="K31">
        <v>2025</v>
      </c>
      <c r="L31" t="s">
        <v>29</v>
      </c>
      <c r="M31">
        <v>47.57</v>
      </c>
      <c r="N31" t="s">
        <v>32</v>
      </c>
      <c r="O31" t="s">
        <v>25</v>
      </c>
      <c r="P31" t="s">
        <v>26</v>
      </c>
    </row>
    <row r="32" spans="1:16">
      <c r="A32">
        <v>20</v>
      </c>
      <c r="B32" t="s">
        <v>916</v>
      </c>
      <c r="C32" t="s">
        <v>586</v>
      </c>
      <c r="D32" t="s">
        <v>36</v>
      </c>
      <c r="E32" t="s">
        <v>51</v>
      </c>
      <c r="F32">
        <v>5.72</v>
      </c>
      <c r="G32" t="s">
        <v>30</v>
      </c>
      <c r="H32" t="s">
        <v>70</v>
      </c>
      <c r="I32">
        <v>7</v>
      </c>
      <c r="J32" t="s">
        <v>75</v>
      </c>
      <c r="K32">
        <v>2025</v>
      </c>
      <c r="L32" t="s">
        <v>36</v>
      </c>
      <c r="M32">
        <v>5.72</v>
      </c>
      <c r="N32" t="s">
        <v>76</v>
      </c>
      <c r="O32" t="s">
        <v>25</v>
      </c>
      <c r="P32" t="s">
        <v>26</v>
      </c>
    </row>
    <row r="33" spans="1:16">
      <c r="A33">
        <v>20</v>
      </c>
      <c r="B33" t="s">
        <v>916</v>
      </c>
      <c r="C33" t="s">
        <v>586</v>
      </c>
      <c r="D33" t="s">
        <v>23</v>
      </c>
      <c r="E33" t="s">
        <v>57</v>
      </c>
      <c r="F33">
        <v>1591589610</v>
      </c>
      <c r="G33" t="s">
        <v>20</v>
      </c>
      <c r="H33" t="s">
        <v>70</v>
      </c>
      <c r="I33">
        <v>7</v>
      </c>
      <c r="J33" t="s">
        <v>77</v>
      </c>
      <c r="K33">
        <v>2024</v>
      </c>
      <c r="L33" t="s">
        <v>23</v>
      </c>
      <c r="M33">
        <v>1591589.61</v>
      </c>
      <c r="N33" t="s">
        <v>72</v>
      </c>
      <c r="O33" t="s">
        <v>25</v>
      </c>
      <c r="P33" t="s">
        <v>26</v>
      </c>
    </row>
    <row r="34" spans="1:16">
      <c r="A34">
        <v>20</v>
      </c>
      <c r="B34" t="s">
        <v>916</v>
      </c>
      <c r="C34" t="s">
        <v>586</v>
      </c>
      <c r="D34" t="s">
        <v>27</v>
      </c>
      <c r="E34" t="s">
        <v>57</v>
      </c>
      <c r="F34">
        <v>711000000</v>
      </c>
      <c r="G34" t="s">
        <v>20</v>
      </c>
      <c r="H34" t="s">
        <v>70</v>
      </c>
      <c r="I34">
        <v>7</v>
      </c>
      <c r="J34" t="s">
        <v>78</v>
      </c>
      <c r="K34">
        <v>2024</v>
      </c>
      <c r="L34" t="s">
        <v>27</v>
      </c>
      <c r="M34">
        <v>711000</v>
      </c>
      <c r="N34" t="s">
        <v>72</v>
      </c>
      <c r="O34" t="s">
        <v>25</v>
      </c>
      <c r="P34" t="s">
        <v>26</v>
      </c>
    </row>
    <row r="35" spans="1:16">
      <c r="A35">
        <v>20</v>
      </c>
      <c r="B35" t="s">
        <v>916</v>
      </c>
      <c r="C35" t="s">
        <v>586</v>
      </c>
      <c r="D35" t="s">
        <v>29</v>
      </c>
      <c r="E35" t="s">
        <v>57</v>
      </c>
      <c r="F35">
        <v>44.67</v>
      </c>
      <c r="G35" t="s">
        <v>30</v>
      </c>
      <c r="H35" t="s">
        <v>70</v>
      </c>
      <c r="I35">
        <v>7</v>
      </c>
      <c r="J35" t="s">
        <v>79</v>
      </c>
      <c r="K35">
        <v>2024</v>
      </c>
      <c r="L35" t="s">
        <v>29</v>
      </c>
      <c r="M35">
        <v>44.67</v>
      </c>
      <c r="N35" t="s">
        <v>32</v>
      </c>
      <c r="O35" t="s">
        <v>25</v>
      </c>
      <c r="P35" t="s">
        <v>26</v>
      </c>
    </row>
    <row r="36" spans="1:16">
      <c r="A36">
        <v>20</v>
      </c>
      <c r="B36" t="s">
        <v>916</v>
      </c>
      <c r="C36" t="s">
        <v>586</v>
      </c>
      <c r="D36" t="s">
        <v>36</v>
      </c>
      <c r="E36" t="s">
        <v>57</v>
      </c>
      <c r="F36">
        <v>6.7</v>
      </c>
      <c r="G36" t="s">
        <v>30</v>
      </c>
      <c r="H36" t="s">
        <v>70</v>
      </c>
      <c r="I36">
        <v>7</v>
      </c>
      <c r="J36" t="s">
        <v>80</v>
      </c>
      <c r="K36">
        <v>2024</v>
      </c>
      <c r="L36" t="s">
        <v>36</v>
      </c>
      <c r="M36">
        <v>6.7</v>
      </c>
      <c r="N36" t="s">
        <v>76</v>
      </c>
      <c r="O36" t="s">
        <v>25</v>
      </c>
      <c r="P36" t="s">
        <v>26</v>
      </c>
    </row>
    <row r="37" spans="1:16">
      <c r="A37">
        <v>20</v>
      </c>
      <c r="B37" t="s">
        <v>916</v>
      </c>
      <c r="C37" t="s">
        <v>586</v>
      </c>
      <c r="D37" t="s">
        <v>23</v>
      </c>
      <c r="E37" t="s">
        <v>62</v>
      </c>
      <c r="F37">
        <v>1390710923</v>
      </c>
      <c r="G37" t="s">
        <v>20</v>
      </c>
      <c r="H37" t="s">
        <v>70</v>
      </c>
      <c r="I37">
        <v>7</v>
      </c>
      <c r="J37" t="s">
        <v>81</v>
      </c>
      <c r="K37">
        <v>2023</v>
      </c>
      <c r="L37" t="s">
        <v>23</v>
      </c>
      <c r="M37">
        <v>1390710.923</v>
      </c>
      <c r="N37" t="s">
        <v>72</v>
      </c>
      <c r="O37" t="s">
        <v>25</v>
      </c>
      <c r="P37" t="s">
        <v>26</v>
      </c>
    </row>
    <row r="38" spans="1:16">
      <c r="A38">
        <v>20</v>
      </c>
      <c r="B38" t="s">
        <v>916</v>
      </c>
      <c r="C38" t="s">
        <v>586</v>
      </c>
      <c r="D38" t="s">
        <v>27</v>
      </c>
      <c r="E38" t="s">
        <v>62</v>
      </c>
      <c r="F38">
        <v>613600000</v>
      </c>
      <c r="G38" t="s">
        <v>20</v>
      </c>
      <c r="H38" t="s">
        <v>70</v>
      </c>
      <c r="I38">
        <v>7</v>
      </c>
      <c r="J38" t="s">
        <v>82</v>
      </c>
      <c r="K38">
        <v>2023</v>
      </c>
      <c r="L38" t="s">
        <v>27</v>
      </c>
      <c r="M38">
        <v>613600</v>
      </c>
      <c r="N38" t="s">
        <v>72</v>
      </c>
      <c r="O38" t="s">
        <v>25</v>
      </c>
      <c r="P38" t="s">
        <v>26</v>
      </c>
    </row>
    <row r="39" spans="1:16">
      <c r="A39">
        <v>20</v>
      </c>
      <c r="B39" t="s">
        <v>916</v>
      </c>
      <c r="C39" t="s">
        <v>586</v>
      </c>
      <c r="D39" t="s">
        <v>29</v>
      </c>
      <c r="E39" t="s">
        <v>62</v>
      </c>
      <c r="F39">
        <v>44.1</v>
      </c>
      <c r="G39" t="s">
        <v>30</v>
      </c>
      <c r="H39" t="s">
        <v>70</v>
      </c>
      <c r="I39">
        <v>7</v>
      </c>
      <c r="J39" t="s">
        <v>83</v>
      </c>
      <c r="K39">
        <v>2023</v>
      </c>
      <c r="L39" t="s">
        <v>29</v>
      </c>
      <c r="M39">
        <v>44.1</v>
      </c>
      <c r="N39" t="s">
        <v>32</v>
      </c>
      <c r="O39" t="s">
        <v>25</v>
      </c>
      <c r="P39" t="s">
        <v>26</v>
      </c>
    </row>
    <row r="40" spans="1:16">
      <c r="A40">
        <v>20</v>
      </c>
      <c r="B40" t="s">
        <v>916</v>
      </c>
      <c r="C40" t="s">
        <v>586</v>
      </c>
      <c r="D40" t="s">
        <v>36</v>
      </c>
      <c r="E40" t="s">
        <v>62</v>
      </c>
      <c r="F40">
        <v>5.16</v>
      </c>
      <c r="G40" t="s">
        <v>30</v>
      </c>
      <c r="H40" t="s">
        <v>70</v>
      </c>
      <c r="I40">
        <v>7</v>
      </c>
      <c r="J40" t="s">
        <v>84</v>
      </c>
      <c r="K40">
        <v>2023</v>
      </c>
      <c r="L40" t="s">
        <v>36</v>
      </c>
      <c r="M40">
        <v>5.16</v>
      </c>
      <c r="N40" t="s">
        <v>76</v>
      </c>
      <c r="O40" t="s">
        <v>25</v>
      </c>
      <c r="P40" t="s">
        <v>26</v>
      </c>
    </row>
    <row r="41" spans="1:16">
      <c r="A41">
        <v>22</v>
      </c>
      <c r="B41" t="s">
        <v>918</v>
      </c>
      <c r="C41" t="s">
        <v>586</v>
      </c>
      <c r="D41" t="s">
        <v>23</v>
      </c>
      <c r="E41" t="s">
        <v>51</v>
      </c>
      <c r="F41">
        <v>4313910954</v>
      </c>
      <c r="G41" t="s">
        <v>20</v>
      </c>
      <c r="H41" t="s">
        <v>88</v>
      </c>
      <c r="I41">
        <v>7</v>
      </c>
      <c r="J41" t="s">
        <v>89</v>
      </c>
      <c r="K41">
        <v>2025</v>
      </c>
      <c r="L41" t="s">
        <v>23</v>
      </c>
      <c r="M41">
        <v>4313910.9539999999</v>
      </c>
      <c r="N41" t="s">
        <v>72</v>
      </c>
      <c r="O41" t="s">
        <v>25</v>
      </c>
      <c r="P41" t="s">
        <v>26</v>
      </c>
    </row>
    <row r="42" spans="1:16">
      <c r="A42">
        <v>22</v>
      </c>
      <c r="B42" t="s">
        <v>918</v>
      </c>
      <c r="C42" t="s">
        <v>586</v>
      </c>
      <c r="D42" t="s">
        <v>27</v>
      </c>
      <c r="E42" t="s">
        <v>51</v>
      </c>
      <c r="F42">
        <v>3250800000</v>
      </c>
      <c r="G42" t="s">
        <v>20</v>
      </c>
      <c r="H42" t="s">
        <v>88</v>
      </c>
      <c r="I42">
        <v>7</v>
      </c>
      <c r="J42" t="s">
        <v>90</v>
      </c>
      <c r="K42">
        <v>2025</v>
      </c>
      <c r="L42" t="s">
        <v>27</v>
      </c>
      <c r="M42">
        <v>3250800</v>
      </c>
      <c r="N42" t="s">
        <v>72</v>
      </c>
      <c r="O42" t="s">
        <v>25</v>
      </c>
      <c r="P42" t="s">
        <v>26</v>
      </c>
    </row>
    <row r="43" spans="1:16">
      <c r="A43">
        <v>22</v>
      </c>
      <c r="B43" t="s">
        <v>918</v>
      </c>
      <c r="C43" t="s">
        <v>586</v>
      </c>
      <c r="D43" t="s">
        <v>29</v>
      </c>
      <c r="E43" t="s">
        <v>51</v>
      </c>
      <c r="F43">
        <v>75.349999999999994</v>
      </c>
      <c r="G43" t="s">
        <v>30</v>
      </c>
      <c r="H43" t="s">
        <v>88</v>
      </c>
      <c r="I43">
        <v>7</v>
      </c>
      <c r="J43" t="s">
        <v>91</v>
      </c>
      <c r="K43">
        <v>2025</v>
      </c>
      <c r="L43" t="s">
        <v>29</v>
      </c>
      <c r="M43">
        <v>75.349999999999994</v>
      </c>
      <c r="N43" t="s">
        <v>32</v>
      </c>
      <c r="O43" t="s">
        <v>25</v>
      </c>
      <c r="P43" t="s">
        <v>26</v>
      </c>
    </row>
    <row r="44" spans="1:16">
      <c r="A44">
        <v>22</v>
      </c>
      <c r="B44" t="s">
        <v>918</v>
      </c>
      <c r="C44" t="s">
        <v>586</v>
      </c>
      <c r="D44" t="s">
        <v>36</v>
      </c>
      <c r="E44" t="s">
        <v>51</v>
      </c>
      <c r="F44">
        <v>12.77</v>
      </c>
      <c r="G44" t="s">
        <v>30</v>
      </c>
      <c r="H44" t="s">
        <v>88</v>
      </c>
      <c r="I44">
        <v>7</v>
      </c>
      <c r="J44" t="s">
        <v>92</v>
      </c>
      <c r="K44">
        <v>2025</v>
      </c>
      <c r="L44" t="s">
        <v>36</v>
      </c>
      <c r="M44">
        <v>12.77</v>
      </c>
      <c r="N44" t="s">
        <v>76</v>
      </c>
      <c r="O44" t="s">
        <v>25</v>
      </c>
      <c r="P44" t="s">
        <v>26</v>
      </c>
    </row>
    <row r="45" spans="1:16">
      <c r="A45">
        <v>22</v>
      </c>
      <c r="B45" t="s">
        <v>918</v>
      </c>
      <c r="C45" t="s">
        <v>586</v>
      </c>
      <c r="D45" t="s">
        <v>23</v>
      </c>
      <c r="E45" t="s">
        <v>57</v>
      </c>
      <c r="F45">
        <v>4004463320</v>
      </c>
      <c r="G45" t="s">
        <v>20</v>
      </c>
      <c r="H45" t="s">
        <v>88</v>
      </c>
      <c r="I45">
        <v>7</v>
      </c>
      <c r="J45" t="s">
        <v>93</v>
      </c>
      <c r="K45">
        <v>2024</v>
      </c>
      <c r="L45" t="s">
        <v>23</v>
      </c>
      <c r="M45">
        <v>4004463.32</v>
      </c>
      <c r="N45" t="s">
        <v>72</v>
      </c>
      <c r="O45" t="s">
        <v>25</v>
      </c>
      <c r="P45" t="s">
        <v>26</v>
      </c>
    </row>
    <row r="46" spans="1:16">
      <c r="A46">
        <v>22</v>
      </c>
      <c r="B46" t="s">
        <v>918</v>
      </c>
      <c r="C46" t="s">
        <v>586</v>
      </c>
      <c r="D46" t="s">
        <v>27</v>
      </c>
      <c r="E46" t="s">
        <v>57</v>
      </c>
      <c r="F46">
        <v>3055000000</v>
      </c>
      <c r="G46" t="s">
        <v>20</v>
      </c>
      <c r="H46" t="s">
        <v>88</v>
      </c>
      <c r="I46">
        <v>7</v>
      </c>
      <c r="J46" t="s">
        <v>94</v>
      </c>
      <c r="K46">
        <v>2024</v>
      </c>
      <c r="L46" t="s">
        <v>27</v>
      </c>
      <c r="M46">
        <v>3055000</v>
      </c>
      <c r="N46" t="s">
        <v>72</v>
      </c>
      <c r="O46" t="s">
        <v>25</v>
      </c>
      <c r="P46" t="s">
        <v>26</v>
      </c>
    </row>
    <row r="47" spans="1:16">
      <c r="A47">
        <v>22</v>
      </c>
      <c r="B47" t="s">
        <v>918</v>
      </c>
      <c r="C47" t="s">
        <v>586</v>
      </c>
      <c r="D47" t="s">
        <v>29</v>
      </c>
      <c r="E47" t="s">
        <v>57</v>
      </c>
      <c r="F47">
        <v>76.290000000000006</v>
      </c>
      <c r="G47" t="s">
        <v>30</v>
      </c>
      <c r="H47" t="s">
        <v>88</v>
      </c>
      <c r="I47">
        <v>7</v>
      </c>
      <c r="J47" t="s">
        <v>95</v>
      </c>
      <c r="K47">
        <v>2024</v>
      </c>
      <c r="L47" t="s">
        <v>29</v>
      </c>
      <c r="M47">
        <v>76.290000000000006</v>
      </c>
      <c r="N47" t="s">
        <v>32</v>
      </c>
      <c r="O47" t="s">
        <v>25</v>
      </c>
      <c r="P47" t="s">
        <v>26</v>
      </c>
    </row>
    <row r="48" spans="1:16">
      <c r="A48">
        <v>22</v>
      </c>
      <c r="B48" t="s">
        <v>918</v>
      </c>
      <c r="C48" t="s">
        <v>586</v>
      </c>
      <c r="D48" t="s">
        <v>36</v>
      </c>
      <c r="E48" t="s">
        <v>57</v>
      </c>
      <c r="F48">
        <v>19.5</v>
      </c>
      <c r="G48" t="s">
        <v>30</v>
      </c>
      <c r="H48" t="s">
        <v>88</v>
      </c>
      <c r="I48">
        <v>7</v>
      </c>
      <c r="J48" t="s">
        <v>37</v>
      </c>
      <c r="K48">
        <v>2024</v>
      </c>
      <c r="L48" t="s">
        <v>36</v>
      </c>
      <c r="M48">
        <v>19.5</v>
      </c>
      <c r="N48" t="s">
        <v>76</v>
      </c>
      <c r="O48" t="s">
        <v>25</v>
      </c>
      <c r="P48" t="s">
        <v>26</v>
      </c>
    </row>
    <row r="49" spans="1:16">
      <c r="A49">
        <v>22</v>
      </c>
      <c r="B49" t="s">
        <v>918</v>
      </c>
      <c r="C49" t="s">
        <v>586</v>
      </c>
      <c r="D49" t="s">
        <v>23</v>
      </c>
      <c r="E49" t="s">
        <v>62</v>
      </c>
      <c r="F49">
        <v>3536132714</v>
      </c>
      <c r="G49" t="s">
        <v>20</v>
      </c>
      <c r="H49" t="s">
        <v>88</v>
      </c>
      <c r="I49">
        <v>7</v>
      </c>
      <c r="J49" t="s">
        <v>96</v>
      </c>
      <c r="K49">
        <v>2023</v>
      </c>
      <c r="L49" t="s">
        <v>23</v>
      </c>
      <c r="M49">
        <v>3536132.7140000002</v>
      </c>
      <c r="N49" t="s">
        <v>72</v>
      </c>
      <c r="O49" t="s">
        <v>25</v>
      </c>
      <c r="P49" t="s">
        <v>26</v>
      </c>
    </row>
    <row r="50" spans="1:16">
      <c r="A50">
        <v>22</v>
      </c>
      <c r="B50" t="s">
        <v>918</v>
      </c>
      <c r="C50" t="s">
        <v>586</v>
      </c>
      <c r="D50" t="s">
        <v>27</v>
      </c>
      <c r="E50" t="s">
        <v>62</v>
      </c>
      <c r="F50">
        <v>2739000000</v>
      </c>
      <c r="G50" t="s">
        <v>20</v>
      </c>
      <c r="H50" t="s">
        <v>88</v>
      </c>
      <c r="I50">
        <v>7</v>
      </c>
      <c r="J50" t="s">
        <v>97</v>
      </c>
      <c r="K50">
        <v>2023</v>
      </c>
      <c r="L50" t="s">
        <v>27</v>
      </c>
      <c r="M50">
        <v>2739000</v>
      </c>
      <c r="N50" t="s">
        <v>72</v>
      </c>
      <c r="O50" t="s">
        <v>25</v>
      </c>
      <c r="P50" t="s">
        <v>26</v>
      </c>
    </row>
    <row r="51" spans="1:16">
      <c r="A51">
        <v>22</v>
      </c>
      <c r="B51" t="s">
        <v>918</v>
      </c>
      <c r="C51" t="s">
        <v>586</v>
      </c>
      <c r="D51" t="s">
        <v>29</v>
      </c>
      <c r="E51" t="s">
        <v>62</v>
      </c>
      <c r="F51">
        <v>77.5</v>
      </c>
      <c r="G51" t="s">
        <v>30</v>
      </c>
      <c r="H51" t="s">
        <v>88</v>
      </c>
      <c r="I51">
        <v>7</v>
      </c>
      <c r="J51" t="s">
        <v>98</v>
      </c>
      <c r="K51">
        <v>2023</v>
      </c>
      <c r="L51" t="s">
        <v>29</v>
      </c>
      <c r="M51">
        <v>77.5</v>
      </c>
      <c r="N51" t="s">
        <v>32</v>
      </c>
      <c r="O51" t="s">
        <v>25</v>
      </c>
      <c r="P51" t="s">
        <v>26</v>
      </c>
    </row>
    <row r="52" spans="1:16">
      <c r="A52">
        <v>22</v>
      </c>
      <c r="B52" t="s">
        <v>918</v>
      </c>
      <c r="C52" t="s">
        <v>586</v>
      </c>
      <c r="D52" t="s">
        <v>36</v>
      </c>
      <c r="E52" t="s">
        <v>62</v>
      </c>
      <c r="F52">
        <v>25.75</v>
      </c>
      <c r="G52" t="s">
        <v>30</v>
      </c>
      <c r="H52" t="s">
        <v>88</v>
      </c>
      <c r="I52">
        <v>7</v>
      </c>
      <c r="J52" t="s">
        <v>99</v>
      </c>
      <c r="K52">
        <v>2023</v>
      </c>
      <c r="L52" t="s">
        <v>36</v>
      </c>
      <c r="M52">
        <v>25.75</v>
      </c>
      <c r="N52" t="s">
        <v>76</v>
      </c>
      <c r="O52" t="s">
        <v>25</v>
      </c>
      <c r="P52" t="s">
        <v>26</v>
      </c>
    </row>
    <row r="53" spans="1:16">
      <c r="A53">
        <v>4</v>
      </c>
      <c r="B53" t="s">
        <v>932</v>
      </c>
      <c r="C53" t="s">
        <v>101</v>
      </c>
      <c r="D53" t="s">
        <v>102</v>
      </c>
      <c r="E53" t="s">
        <v>51</v>
      </c>
      <c r="F53">
        <v>3623</v>
      </c>
      <c r="G53" t="s">
        <v>103</v>
      </c>
      <c r="H53" t="s">
        <v>104</v>
      </c>
      <c r="I53">
        <v>111</v>
      </c>
      <c r="J53" t="s">
        <v>105</v>
      </c>
      <c r="K53">
        <v>2025</v>
      </c>
      <c r="L53" t="s">
        <v>23</v>
      </c>
      <c r="M53">
        <v>28259400</v>
      </c>
      <c r="N53" t="s">
        <v>106</v>
      </c>
      <c r="O53" t="s">
        <v>101</v>
      </c>
      <c r="P53" t="s">
        <v>26</v>
      </c>
    </row>
    <row r="54" spans="1:16">
      <c r="A54">
        <v>4</v>
      </c>
      <c r="B54" t="s">
        <v>932</v>
      </c>
      <c r="C54" t="s">
        <v>101</v>
      </c>
      <c r="D54" t="s">
        <v>107</v>
      </c>
      <c r="E54" t="s">
        <v>51</v>
      </c>
      <c r="F54">
        <v>1904</v>
      </c>
      <c r="G54" t="s">
        <v>103</v>
      </c>
      <c r="H54" t="s">
        <v>104</v>
      </c>
      <c r="I54">
        <v>111</v>
      </c>
      <c r="J54" t="s">
        <v>108</v>
      </c>
      <c r="K54">
        <v>2025</v>
      </c>
      <c r="L54" t="s">
        <v>27</v>
      </c>
      <c r="M54">
        <v>14851200</v>
      </c>
      <c r="N54" t="s">
        <v>106</v>
      </c>
      <c r="O54" t="s">
        <v>101</v>
      </c>
      <c r="P54" t="s">
        <v>26</v>
      </c>
    </row>
    <row r="55" spans="1:16">
      <c r="A55">
        <v>4</v>
      </c>
      <c r="B55" t="s">
        <v>932</v>
      </c>
      <c r="C55" t="s">
        <v>101</v>
      </c>
      <c r="D55" t="s">
        <v>109</v>
      </c>
      <c r="E55" t="s">
        <v>51</v>
      </c>
      <c r="F55">
        <v>52.6</v>
      </c>
      <c r="G55" t="s">
        <v>30</v>
      </c>
      <c r="H55" t="s">
        <v>104</v>
      </c>
      <c r="I55">
        <v>111</v>
      </c>
      <c r="J55" t="s">
        <v>110</v>
      </c>
      <c r="K55">
        <v>2025</v>
      </c>
      <c r="L55" t="s">
        <v>29</v>
      </c>
      <c r="M55">
        <v>52.6</v>
      </c>
      <c r="N55" t="s">
        <v>32</v>
      </c>
      <c r="O55" t="s">
        <v>101</v>
      </c>
      <c r="P55" t="s">
        <v>26</v>
      </c>
    </row>
    <row r="56" spans="1:16">
      <c r="A56">
        <v>4</v>
      </c>
      <c r="B56" t="s">
        <v>932</v>
      </c>
      <c r="C56" t="s">
        <v>101</v>
      </c>
      <c r="D56" t="s">
        <v>111</v>
      </c>
      <c r="E56" t="s">
        <v>51</v>
      </c>
      <c r="F56">
        <v>802</v>
      </c>
      <c r="G56" t="s">
        <v>103</v>
      </c>
      <c r="H56" t="s">
        <v>104</v>
      </c>
      <c r="I56">
        <v>111</v>
      </c>
      <c r="J56" t="s">
        <v>112</v>
      </c>
      <c r="K56">
        <v>2025</v>
      </c>
      <c r="L56" t="s">
        <v>35</v>
      </c>
      <c r="M56">
        <v>6255600</v>
      </c>
      <c r="N56" t="s">
        <v>106</v>
      </c>
      <c r="O56" t="s">
        <v>101</v>
      </c>
      <c r="P56" t="s">
        <v>26</v>
      </c>
    </row>
    <row r="57" spans="1:16">
      <c r="A57">
        <v>4</v>
      </c>
      <c r="B57" t="s">
        <v>932</v>
      </c>
      <c r="C57" t="s">
        <v>101</v>
      </c>
      <c r="D57" t="s">
        <v>113</v>
      </c>
      <c r="E57" t="s">
        <v>51</v>
      </c>
      <c r="F57">
        <v>22.1</v>
      </c>
      <c r="G57" t="s">
        <v>30</v>
      </c>
      <c r="H57" t="s">
        <v>104</v>
      </c>
      <c r="I57">
        <v>111</v>
      </c>
      <c r="J57" t="s">
        <v>114</v>
      </c>
      <c r="K57">
        <v>2025</v>
      </c>
      <c r="L57" t="s">
        <v>115</v>
      </c>
      <c r="M57">
        <v>22.1</v>
      </c>
      <c r="N57" t="s">
        <v>32</v>
      </c>
      <c r="O57" t="s">
        <v>101</v>
      </c>
      <c r="P57" t="s">
        <v>26</v>
      </c>
    </row>
    <row r="58" spans="1:16">
      <c r="A58">
        <v>4</v>
      </c>
      <c r="B58" t="s">
        <v>932</v>
      </c>
      <c r="C58" t="s">
        <v>101</v>
      </c>
      <c r="D58" t="s">
        <v>102</v>
      </c>
      <c r="E58" t="s">
        <v>57</v>
      </c>
      <c r="F58">
        <v>3459</v>
      </c>
      <c r="G58" t="s">
        <v>103</v>
      </c>
      <c r="H58" t="s">
        <v>116</v>
      </c>
      <c r="I58">
        <v>113</v>
      </c>
      <c r="J58" t="s">
        <v>117</v>
      </c>
      <c r="K58">
        <v>2024</v>
      </c>
      <c r="L58" t="s">
        <v>23</v>
      </c>
      <c r="M58">
        <v>26980200</v>
      </c>
      <c r="N58" t="s">
        <v>118</v>
      </c>
      <c r="O58" t="s">
        <v>101</v>
      </c>
      <c r="P58" t="s">
        <v>26</v>
      </c>
    </row>
    <row r="59" spans="1:16">
      <c r="A59">
        <v>4</v>
      </c>
      <c r="B59" t="s">
        <v>932</v>
      </c>
      <c r="C59" t="s">
        <v>101</v>
      </c>
      <c r="D59" t="s">
        <v>107</v>
      </c>
      <c r="E59" t="s">
        <v>57</v>
      </c>
      <c r="F59">
        <v>1716</v>
      </c>
      <c r="G59" t="s">
        <v>103</v>
      </c>
      <c r="H59" t="s">
        <v>116</v>
      </c>
      <c r="I59">
        <v>113</v>
      </c>
      <c r="J59" t="s">
        <v>119</v>
      </c>
      <c r="K59">
        <v>2024</v>
      </c>
      <c r="L59" t="s">
        <v>27</v>
      </c>
      <c r="M59">
        <v>13384800</v>
      </c>
      <c r="N59" t="s">
        <v>118</v>
      </c>
      <c r="O59" t="s">
        <v>101</v>
      </c>
      <c r="P59" t="s">
        <v>26</v>
      </c>
    </row>
    <row r="60" spans="1:16">
      <c r="A60">
        <v>4</v>
      </c>
      <c r="B60" t="s">
        <v>932</v>
      </c>
      <c r="C60" t="s">
        <v>101</v>
      </c>
      <c r="D60" t="s">
        <v>109</v>
      </c>
      <c r="E60" t="s">
        <v>57</v>
      </c>
      <c r="F60">
        <v>49.6</v>
      </c>
      <c r="G60" t="s">
        <v>30</v>
      </c>
      <c r="H60" t="s">
        <v>116</v>
      </c>
      <c r="I60">
        <v>113</v>
      </c>
      <c r="J60" t="s">
        <v>120</v>
      </c>
      <c r="K60">
        <v>2024</v>
      </c>
      <c r="L60" t="s">
        <v>29</v>
      </c>
      <c r="M60">
        <v>49.6</v>
      </c>
      <c r="N60" t="s">
        <v>32</v>
      </c>
      <c r="O60" t="s">
        <v>101</v>
      </c>
      <c r="P60" t="s">
        <v>26</v>
      </c>
    </row>
    <row r="61" spans="1:16">
      <c r="A61">
        <v>4</v>
      </c>
      <c r="B61" t="s">
        <v>932</v>
      </c>
      <c r="C61" t="s">
        <v>101</v>
      </c>
      <c r="D61" t="s">
        <v>111</v>
      </c>
      <c r="E61" t="s">
        <v>57</v>
      </c>
      <c r="F61">
        <v>714</v>
      </c>
      <c r="G61" t="s">
        <v>103</v>
      </c>
      <c r="H61" t="s">
        <v>116</v>
      </c>
      <c r="I61">
        <v>113</v>
      </c>
      <c r="J61" t="s">
        <v>121</v>
      </c>
      <c r="K61">
        <v>2024</v>
      </c>
      <c r="L61" t="s">
        <v>35</v>
      </c>
      <c r="M61">
        <v>5569200</v>
      </c>
      <c r="N61" t="s">
        <v>118</v>
      </c>
      <c r="O61" t="s">
        <v>101</v>
      </c>
      <c r="P61" t="s">
        <v>26</v>
      </c>
    </row>
    <row r="62" spans="1:16">
      <c r="A62">
        <v>4</v>
      </c>
      <c r="B62" t="s">
        <v>932</v>
      </c>
      <c r="C62" t="s">
        <v>101</v>
      </c>
      <c r="D62" t="s">
        <v>113</v>
      </c>
      <c r="E62" t="s">
        <v>57</v>
      </c>
      <c r="F62">
        <v>20.6</v>
      </c>
      <c r="G62" t="s">
        <v>30</v>
      </c>
      <c r="H62" t="s">
        <v>116</v>
      </c>
      <c r="I62">
        <v>113</v>
      </c>
      <c r="J62" t="s">
        <v>122</v>
      </c>
      <c r="K62">
        <v>2024</v>
      </c>
      <c r="L62" t="s">
        <v>115</v>
      </c>
      <c r="M62">
        <v>20.6</v>
      </c>
      <c r="N62" t="s">
        <v>32</v>
      </c>
      <c r="O62" t="s">
        <v>101</v>
      </c>
      <c r="P62" t="s">
        <v>26</v>
      </c>
    </row>
    <row r="63" spans="1:16">
      <c r="A63">
        <v>4</v>
      </c>
      <c r="B63" t="s">
        <v>932</v>
      </c>
      <c r="C63" t="s">
        <v>101</v>
      </c>
      <c r="D63" t="s">
        <v>102</v>
      </c>
      <c r="E63" t="s">
        <v>62</v>
      </c>
      <c r="F63">
        <v>3190</v>
      </c>
      <c r="G63" t="s">
        <v>103</v>
      </c>
      <c r="H63" t="s">
        <v>116</v>
      </c>
      <c r="I63">
        <v>113</v>
      </c>
      <c r="J63" t="s">
        <v>123</v>
      </c>
      <c r="K63">
        <v>2023</v>
      </c>
      <c r="L63" t="s">
        <v>23</v>
      </c>
      <c r="M63">
        <v>24882000</v>
      </c>
      <c r="N63" t="s">
        <v>124</v>
      </c>
      <c r="O63" t="s">
        <v>101</v>
      </c>
      <c r="P63" t="s">
        <v>26</v>
      </c>
    </row>
    <row r="64" spans="1:16">
      <c r="A64">
        <v>4</v>
      </c>
      <c r="B64" t="s">
        <v>932</v>
      </c>
      <c r="C64" t="s">
        <v>101</v>
      </c>
      <c r="D64" t="s">
        <v>107</v>
      </c>
      <c r="E64" t="s">
        <v>62</v>
      </c>
      <c r="F64">
        <v>1554</v>
      </c>
      <c r="G64" t="s">
        <v>103</v>
      </c>
      <c r="H64" t="s">
        <v>116</v>
      </c>
      <c r="I64">
        <v>113</v>
      </c>
      <c r="J64" t="s">
        <v>125</v>
      </c>
      <c r="K64">
        <v>2023</v>
      </c>
      <c r="L64" t="s">
        <v>27</v>
      </c>
      <c r="M64">
        <v>12121200</v>
      </c>
      <c r="N64" t="s">
        <v>124</v>
      </c>
      <c r="O64" t="s">
        <v>101</v>
      </c>
      <c r="P64" t="s">
        <v>26</v>
      </c>
    </row>
    <row r="65" spans="1:17">
      <c r="A65">
        <v>4</v>
      </c>
      <c r="B65" t="s">
        <v>932</v>
      </c>
      <c r="C65" t="s">
        <v>101</v>
      </c>
      <c r="D65" t="s">
        <v>109</v>
      </c>
      <c r="E65" t="s">
        <v>62</v>
      </c>
      <c r="F65">
        <v>48.7</v>
      </c>
      <c r="G65" t="s">
        <v>30</v>
      </c>
      <c r="H65" t="s">
        <v>116</v>
      </c>
      <c r="I65">
        <v>113</v>
      </c>
      <c r="J65" t="s">
        <v>126</v>
      </c>
      <c r="K65">
        <v>2023</v>
      </c>
      <c r="L65" t="s">
        <v>29</v>
      </c>
      <c r="M65">
        <v>48.7</v>
      </c>
      <c r="N65" t="s">
        <v>32</v>
      </c>
      <c r="O65" t="s">
        <v>101</v>
      </c>
      <c r="P65" t="s">
        <v>26</v>
      </c>
    </row>
    <row r="66" spans="1:17">
      <c r="A66">
        <v>4</v>
      </c>
      <c r="B66" t="s">
        <v>932</v>
      </c>
      <c r="C66" t="s">
        <v>101</v>
      </c>
      <c r="D66" t="s">
        <v>111</v>
      </c>
      <c r="E66" t="s">
        <v>62</v>
      </c>
      <c r="F66">
        <v>553</v>
      </c>
      <c r="G66" t="s">
        <v>103</v>
      </c>
      <c r="H66" t="s">
        <v>116</v>
      </c>
      <c r="I66">
        <v>113</v>
      </c>
      <c r="J66" t="s">
        <v>127</v>
      </c>
      <c r="K66">
        <v>2023</v>
      </c>
      <c r="L66" t="s">
        <v>35</v>
      </c>
      <c r="M66">
        <v>4313400</v>
      </c>
      <c r="N66" t="s">
        <v>124</v>
      </c>
      <c r="O66" t="s">
        <v>101</v>
      </c>
      <c r="P66" t="s">
        <v>26</v>
      </c>
    </row>
    <row r="67" spans="1:17">
      <c r="A67">
        <v>4</v>
      </c>
      <c r="B67" t="s">
        <v>932</v>
      </c>
      <c r="C67" t="s">
        <v>101</v>
      </c>
      <c r="D67" t="s">
        <v>113</v>
      </c>
      <c r="E67" t="s">
        <v>62</v>
      </c>
      <c r="F67">
        <v>17.3</v>
      </c>
      <c r="G67" t="s">
        <v>30</v>
      </c>
      <c r="H67" t="s">
        <v>116</v>
      </c>
      <c r="I67">
        <v>113</v>
      </c>
      <c r="J67" t="s">
        <v>128</v>
      </c>
      <c r="K67">
        <v>2023</v>
      </c>
      <c r="L67" t="s">
        <v>115</v>
      </c>
      <c r="M67">
        <v>17.3</v>
      </c>
      <c r="N67" t="s">
        <v>32</v>
      </c>
      <c r="O67" t="s">
        <v>101</v>
      </c>
      <c r="P67" t="s">
        <v>26</v>
      </c>
    </row>
    <row r="68" spans="1:17">
      <c r="A68">
        <v>2</v>
      </c>
      <c r="B68" t="s">
        <v>129</v>
      </c>
      <c r="C68" t="s">
        <v>17</v>
      </c>
      <c r="D68" t="s">
        <v>102</v>
      </c>
      <c r="E68" t="s">
        <v>57</v>
      </c>
      <c r="F68">
        <v>8969351</v>
      </c>
      <c r="G68" t="s">
        <v>130</v>
      </c>
      <c r="H68" t="s">
        <v>459</v>
      </c>
      <c r="I68">
        <v>24</v>
      </c>
      <c r="J68" t="s">
        <v>132</v>
      </c>
      <c r="K68">
        <v>2024</v>
      </c>
      <c r="L68" t="s">
        <v>23</v>
      </c>
      <c r="M68" s="2">
        <v>64579327200</v>
      </c>
      <c r="N68" t="s">
        <v>133</v>
      </c>
      <c r="O68" t="s">
        <v>134</v>
      </c>
      <c r="P68" t="s">
        <v>26</v>
      </c>
      <c r="Q68" t="s">
        <v>682</v>
      </c>
    </row>
    <row r="69" spans="1:17">
      <c r="A69">
        <v>2</v>
      </c>
      <c r="B69" t="s">
        <v>129</v>
      </c>
      <c r="C69" t="s">
        <v>17</v>
      </c>
      <c r="D69" t="s">
        <v>107</v>
      </c>
      <c r="E69" t="s">
        <v>57</v>
      </c>
      <c r="F69">
        <v>4767439</v>
      </c>
      <c r="G69" t="s">
        <v>130</v>
      </c>
      <c r="H69" t="s">
        <v>459</v>
      </c>
      <c r="I69">
        <v>24</v>
      </c>
      <c r="J69" t="s">
        <v>135</v>
      </c>
      <c r="K69">
        <v>2024</v>
      </c>
      <c r="L69" t="s">
        <v>27</v>
      </c>
      <c r="M69" s="2">
        <v>34325560800</v>
      </c>
      <c r="N69" t="s">
        <v>133</v>
      </c>
      <c r="O69" t="s">
        <v>134</v>
      </c>
      <c r="P69" t="s">
        <v>26</v>
      </c>
      <c r="Q69" t="s">
        <v>682</v>
      </c>
    </row>
    <row r="70" spans="1:17">
      <c r="A70">
        <v>2</v>
      </c>
      <c r="B70" t="s">
        <v>129</v>
      </c>
      <c r="C70" t="s">
        <v>17</v>
      </c>
      <c r="D70" t="s">
        <v>109</v>
      </c>
      <c r="E70" t="s">
        <v>57</v>
      </c>
      <c r="F70">
        <v>53.2</v>
      </c>
      <c r="G70" t="s">
        <v>30</v>
      </c>
      <c r="H70" t="s">
        <v>459</v>
      </c>
      <c r="I70">
        <v>24</v>
      </c>
      <c r="J70" t="s">
        <v>136</v>
      </c>
      <c r="K70">
        <v>2024</v>
      </c>
      <c r="L70" t="s">
        <v>29</v>
      </c>
      <c r="M70" s="2">
        <v>53.2</v>
      </c>
      <c r="N70" t="s">
        <v>137</v>
      </c>
      <c r="O70" t="s">
        <v>134</v>
      </c>
      <c r="P70" t="s">
        <v>26</v>
      </c>
      <c r="Q70" t="s">
        <v>624</v>
      </c>
    </row>
    <row r="71" spans="1:17">
      <c r="A71">
        <v>2</v>
      </c>
      <c r="B71" t="s">
        <v>129</v>
      </c>
      <c r="C71" t="s">
        <v>17</v>
      </c>
      <c r="D71" t="s">
        <v>102</v>
      </c>
      <c r="E71" t="s">
        <v>62</v>
      </c>
      <c r="F71">
        <v>8000342</v>
      </c>
      <c r="G71" t="s">
        <v>130</v>
      </c>
      <c r="H71" t="s">
        <v>459</v>
      </c>
      <c r="I71">
        <v>24</v>
      </c>
      <c r="J71" t="s">
        <v>138</v>
      </c>
      <c r="K71">
        <v>2023</v>
      </c>
      <c r="L71" t="s">
        <v>23</v>
      </c>
      <c r="M71" s="2">
        <v>57602462400</v>
      </c>
      <c r="N71" t="s">
        <v>133</v>
      </c>
      <c r="O71" t="s">
        <v>134</v>
      </c>
      <c r="P71" t="s">
        <v>26</v>
      </c>
      <c r="Q71" t="s">
        <v>682</v>
      </c>
    </row>
    <row r="72" spans="1:17">
      <c r="A72">
        <v>2</v>
      </c>
      <c r="B72" t="s">
        <v>129</v>
      </c>
      <c r="C72" t="s">
        <v>17</v>
      </c>
      <c r="D72" t="s">
        <v>107</v>
      </c>
      <c r="E72" t="s">
        <v>62</v>
      </c>
      <c r="F72">
        <v>4152404</v>
      </c>
      <c r="G72" t="s">
        <v>130</v>
      </c>
      <c r="H72" t="s">
        <v>459</v>
      </c>
      <c r="I72">
        <v>24</v>
      </c>
      <c r="J72" t="s">
        <v>139</v>
      </c>
      <c r="K72">
        <v>2023</v>
      </c>
      <c r="L72" t="s">
        <v>27</v>
      </c>
      <c r="M72" s="2">
        <v>29897308800</v>
      </c>
      <c r="N72" t="s">
        <v>133</v>
      </c>
      <c r="O72" t="s">
        <v>134</v>
      </c>
      <c r="P72" t="s">
        <v>26</v>
      </c>
      <c r="Q72" t="s">
        <v>682</v>
      </c>
    </row>
    <row r="73" spans="1:17">
      <c r="A73">
        <v>2</v>
      </c>
      <c r="B73" t="s">
        <v>129</v>
      </c>
      <c r="C73" t="s">
        <v>17</v>
      </c>
      <c r="D73" t="s">
        <v>109</v>
      </c>
      <c r="E73" t="s">
        <v>62</v>
      </c>
      <c r="F73">
        <v>51.9</v>
      </c>
      <c r="G73" t="s">
        <v>30</v>
      </c>
      <c r="H73" t="s">
        <v>459</v>
      </c>
      <c r="I73">
        <v>24</v>
      </c>
      <c r="J73" t="s">
        <v>140</v>
      </c>
      <c r="K73">
        <v>2023</v>
      </c>
      <c r="L73" t="s">
        <v>29</v>
      </c>
      <c r="M73" s="2">
        <v>51.9</v>
      </c>
      <c r="N73" t="s">
        <v>137</v>
      </c>
      <c r="O73" t="s">
        <v>134</v>
      </c>
      <c r="P73" t="s">
        <v>26</v>
      </c>
      <c r="Q73" t="s">
        <v>624</v>
      </c>
    </row>
    <row r="74" spans="1:17">
      <c r="A74">
        <v>2</v>
      </c>
      <c r="B74" t="s">
        <v>129</v>
      </c>
      <c r="C74" t="s">
        <v>17</v>
      </c>
      <c r="D74" t="s">
        <v>148</v>
      </c>
      <c r="E74" t="s">
        <v>57</v>
      </c>
      <c r="F74">
        <v>904257</v>
      </c>
      <c r="G74" t="s">
        <v>130</v>
      </c>
      <c r="H74" t="s">
        <v>459</v>
      </c>
      <c r="I74">
        <v>24</v>
      </c>
      <c r="J74" t="s">
        <v>152</v>
      </c>
      <c r="K74">
        <v>2024</v>
      </c>
      <c r="L74" t="s">
        <v>35</v>
      </c>
      <c r="M74" s="2">
        <v>6510650.4000000004</v>
      </c>
      <c r="N74" t="s">
        <v>133</v>
      </c>
      <c r="O74" t="s">
        <v>134</v>
      </c>
      <c r="P74" t="s">
        <v>26</v>
      </c>
      <c r="Q74" t="s">
        <v>624</v>
      </c>
    </row>
    <row r="75" spans="1:17">
      <c r="A75">
        <v>2</v>
      </c>
      <c r="B75" t="s">
        <v>129</v>
      </c>
      <c r="C75" t="s">
        <v>17</v>
      </c>
      <c r="D75" t="s">
        <v>149</v>
      </c>
      <c r="E75" t="s">
        <v>57</v>
      </c>
      <c r="F75">
        <v>729613</v>
      </c>
      <c r="G75" t="s">
        <v>130</v>
      </c>
      <c r="H75" t="s">
        <v>459</v>
      </c>
      <c r="I75">
        <v>24</v>
      </c>
      <c r="J75" t="s">
        <v>153</v>
      </c>
      <c r="K75">
        <v>2024</v>
      </c>
      <c r="L75" t="s">
        <v>150</v>
      </c>
      <c r="M75" s="2">
        <v>5253213.6000000006</v>
      </c>
      <c r="N75" t="s">
        <v>133</v>
      </c>
      <c r="O75" t="s">
        <v>134</v>
      </c>
      <c r="P75" t="s">
        <v>26</v>
      </c>
      <c r="Q75" t="s">
        <v>624</v>
      </c>
    </row>
    <row r="76" spans="1:17">
      <c r="A76">
        <v>2</v>
      </c>
      <c r="B76" t="s">
        <v>129</v>
      </c>
      <c r="C76" t="s">
        <v>17</v>
      </c>
      <c r="D76" t="s">
        <v>113</v>
      </c>
      <c r="E76" t="s">
        <v>57</v>
      </c>
      <c r="F76">
        <v>10.1</v>
      </c>
      <c r="G76" t="s">
        <v>30</v>
      </c>
      <c r="H76" t="s">
        <v>459</v>
      </c>
      <c r="I76">
        <v>24</v>
      </c>
      <c r="J76" t="s">
        <v>154</v>
      </c>
      <c r="K76">
        <v>2024</v>
      </c>
      <c r="L76" t="s">
        <v>115</v>
      </c>
      <c r="M76" s="2">
        <v>10.1</v>
      </c>
      <c r="N76" t="s">
        <v>137</v>
      </c>
      <c r="O76" t="s">
        <v>134</v>
      </c>
      <c r="P76" t="s">
        <v>26</v>
      </c>
      <c r="Q76" t="s">
        <v>624</v>
      </c>
    </row>
    <row r="77" spans="1:17">
      <c r="A77">
        <v>2</v>
      </c>
      <c r="B77" t="s">
        <v>129</v>
      </c>
      <c r="C77" t="s">
        <v>17</v>
      </c>
      <c r="D77" t="s">
        <v>151</v>
      </c>
      <c r="E77" t="s">
        <v>681</v>
      </c>
      <c r="F77">
        <v>8.1</v>
      </c>
      <c r="G77" t="s">
        <v>30</v>
      </c>
      <c r="H77" t="s">
        <v>459</v>
      </c>
      <c r="I77">
        <v>24</v>
      </c>
      <c r="J77" t="s">
        <v>155</v>
      </c>
      <c r="K77">
        <v>2024</v>
      </c>
      <c r="L77" t="s">
        <v>36</v>
      </c>
      <c r="M77" s="2">
        <v>8.1</v>
      </c>
      <c r="N77" t="s">
        <v>137</v>
      </c>
      <c r="O77" t="s">
        <v>134</v>
      </c>
      <c r="P77" t="s">
        <v>26</v>
      </c>
      <c r="Q77" t="s">
        <v>624</v>
      </c>
    </row>
    <row r="78" spans="1:17">
      <c r="A78">
        <v>2</v>
      </c>
      <c r="B78" t="s">
        <v>129</v>
      </c>
      <c r="C78" t="s">
        <v>17</v>
      </c>
      <c r="D78" t="s">
        <v>148</v>
      </c>
      <c r="E78" t="s">
        <v>62</v>
      </c>
      <c r="F78">
        <v>784786</v>
      </c>
      <c r="G78" t="s">
        <v>130</v>
      </c>
      <c r="H78" t="s">
        <v>459</v>
      </c>
      <c r="I78">
        <v>24</v>
      </c>
      <c r="J78" t="s">
        <v>156</v>
      </c>
      <c r="K78">
        <v>2023</v>
      </c>
      <c r="L78" t="s">
        <v>35</v>
      </c>
      <c r="M78" s="2">
        <v>5650459.2000000002</v>
      </c>
      <c r="N78" t="s">
        <v>133</v>
      </c>
      <c r="O78" t="s">
        <v>134</v>
      </c>
      <c r="P78" t="s">
        <v>26</v>
      </c>
      <c r="Q78" t="s">
        <v>624</v>
      </c>
    </row>
    <row r="79" spans="1:17">
      <c r="A79">
        <v>2</v>
      </c>
      <c r="B79" t="s">
        <v>129</v>
      </c>
      <c r="C79" t="s">
        <v>17</v>
      </c>
      <c r="D79" t="s">
        <v>149</v>
      </c>
      <c r="E79" t="s">
        <v>62</v>
      </c>
      <c r="F79">
        <v>545799</v>
      </c>
      <c r="G79" t="s">
        <v>130</v>
      </c>
      <c r="H79" t="s">
        <v>459</v>
      </c>
      <c r="I79">
        <v>24</v>
      </c>
      <c r="J79" t="s">
        <v>157</v>
      </c>
      <c r="K79">
        <v>2023</v>
      </c>
      <c r="L79" t="s">
        <v>150</v>
      </c>
      <c r="M79" s="2">
        <v>3929752.8</v>
      </c>
      <c r="N79" t="s">
        <v>133</v>
      </c>
      <c r="O79" t="s">
        <v>134</v>
      </c>
      <c r="P79" t="s">
        <v>26</v>
      </c>
      <c r="Q79" t="s">
        <v>624</v>
      </c>
    </row>
    <row r="80" spans="1:17">
      <c r="A80">
        <v>2</v>
      </c>
      <c r="B80" t="s">
        <v>129</v>
      </c>
      <c r="C80" t="s">
        <v>17</v>
      </c>
      <c r="D80" t="s">
        <v>113</v>
      </c>
      <c r="E80" t="s">
        <v>62</v>
      </c>
      <c r="F80">
        <v>9.8000000000000007</v>
      </c>
      <c r="G80" t="s">
        <v>30</v>
      </c>
      <c r="H80" t="s">
        <v>459</v>
      </c>
      <c r="I80">
        <v>24</v>
      </c>
      <c r="J80" t="s">
        <v>158</v>
      </c>
      <c r="K80">
        <v>2023</v>
      </c>
      <c r="L80" t="s">
        <v>115</v>
      </c>
      <c r="M80" s="2">
        <v>9.8000000000000007</v>
      </c>
      <c r="N80" t="s">
        <v>137</v>
      </c>
      <c r="O80" t="s">
        <v>134</v>
      </c>
      <c r="P80" t="s">
        <v>26</v>
      </c>
      <c r="Q80" t="s">
        <v>624</v>
      </c>
    </row>
    <row r="81" spans="1:17">
      <c r="A81">
        <v>2</v>
      </c>
      <c r="B81" t="s">
        <v>129</v>
      </c>
      <c r="C81" t="s">
        <v>17</v>
      </c>
      <c r="D81" t="s">
        <v>151</v>
      </c>
      <c r="E81" t="s">
        <v>62</v>
      </c>
      <c r="F81">
        <v>6.8</v>
      </c>
      <c r="G81" t="s">
        <v>30</v>
      </c>
      <c r="H81" t="s">
        <v>459</v>
      </c>
      <c r="I81">
        <v>24</v>
      </c>
      <c r="J81" t="s">
        <v>159</v>
      </c>
      <c r="K81">
        <v>2023</v>
      </c>
      <c r="L81" t="s">
        <v>36</v>
      </c>
      <c r="M81" s="2">
        <v>6.8</v>
      </c>
      <c r="N81" t="s">
        <v>137</v>
      </c>
      <c r="O81" t="s">
        <v>134</v>
      </c>
      <c r="P81" t="s">
        <v>26</v>
      </c>
      <c r="Q81" t="s">
        <v>624</v>
      </c>
    </row>
    <row r="82" spans="1:17">
      <c r="A82">
        <v>15</v>
      </c>
      <c r="B82" t="s">
        <v>164</v>
      </c>
      <c r="C82" t="s">
        <v>17</v>
      </c>
      <c r="D82" t="s">
        <v>165</v>
      </c>
      <c r="E82" t="s">
        <v>51</v>
      </c>
      <c r="F82">
        <v>5164310</v>
      </c>
      <c r="G82" t="s">
        <v>130</v>
      </c>
      <c r="H82" t="s">
        <v>166</v>
      </c>
      <c r="I82">
        <v>35</v>
      </c>
      <c r="J82" t="s">
        <v>167</v>
      </c>
      <c r="K82">
        <v>2025</v>
      </c>
      <c r="L82" t="s">
        <v>23</v>
      </c>
      <c r="M82">
        <v>37183032</v>
      </c>
      <c r="N82" t="s">
        <v>133</v>
      </c>
      <c r="O82" t="s">
        <v>134</v>
      </c>
      <c r="P82" t="s">
        <v>26</v>
      </c>
    </row>
    <row r="83" spans="1:17">
      <c r="A83">
        <v>15</v>
      </c>
      <c r="B83" t="s">
        <v>164</v>
      </c>
      <c r="C83" t="s">
        <v>17</v>
      </c>
      <c r="D83" t="s">
        <v>107</v>
      </c>
      <c r="E83" t="s">
        <v>51</v>
      </c>
      <c r="F83">
        <v>2474744</v>
      </c>
      <c r="G83" t="s">
        <v>130</v>
      </c>
      <c r="H83" t="s">
        <v>166</v>
      </c>
      <c r="I83">
        <v>35</v>
      </c>
      <c r="J83" t="s">
        <v>168</v>
      </c>
      <c r="K83">
        <v>2025</v>
      </c>
      <c r="L83" t="s">
        <v>27</v>
      </c>
      <c r="M83">
        <v>17818156.800000001</v>
      </c>
      <c r="N83" t="s">
        <v>133</v>
      </c>
      <c r="O83" t="s">
        <v>134</v>
      </c>
      <c r="P83" t="s">
        <v>26</v>
      </c>
    </row>
    <row r="84" spans="1:17">
      <c r="A84">
        <v>15</v>
      </c>
      <c r="B84" t="s">
        <v>164</v>
      </c>
      <c r="C84" t="s">
        <v>17</v>
      </c>
      <c r="D84" t="s">
        <v>109</v>
      </c>
      <c r="E84" t="s">
        <v>51</v>
      </c>
      <c r="F84">
        <v>47.9</v>
      </c>
      <c r="G84" t="s">
        <v>30</v>
      </c>
      <c r="H84" t="s">
        <v>166</v>
      </c>
      <c r="I84">
        <v>35</v>
      </c>
      <c r="J84" t="s">
        <v>169</v>
      </c>
      <c r="K84">
        <v>2025</v>
      </c>
      <c r="L84" t="s">
        <v>29</v>
      </c>
      <c r="M84">
        <v>47.9</v>
      </c>
      <c r="N84" t="s">
        <v>137</v>
      </c>
      <c r="O84" t="s">
        <v>134</v>
      </c>
      <c r="P84" t="s">
        <v>26</v>
      </c>
    </row>
    <row r="85" spans="1:17">
      <c r="A85">
        <v>15</v>
      </c>
      <c r="B85" t="s">
        <v>164</v>
      </c>
      <c r="C85" t="s">
        <v>17</v>
      </c>
      <c r="D85" t="s">
        <v>170</v>
      </c>
      <c r="E85" t="s">
        <v>51</v>
      </c>
      <c r="F85">
        <v>-185216</v>
      </c>
      <c r="G85" t="s">
        <v>130</v>
      </c>
      <c r="H85" t="s">
        <v>166</v>
      </c>
      <c r="I85">
        <v>35</v>
      </c>
      <c r="J85" t="s">
        <v>171</v>
      </c>
      <c r="K85">
        <v>2025</v>
      </c>
      <c r="L85" t="s">
        <v>35</v>
      </c>
      <c r="M85">
        <v>-1333555.2</v>
      </c>
      <c r="N85" t="s">
        <v>133</v>
      </c>
      <c r="O85" t="s">
        <v>134</v>
      </c>
      <c r="P85" t="s">
        <v>26</v>
      </c>
    </row>
    <row r="86" spans="1:17">
      <c r="A86">
        <v>15</v>
      </c>
      <c r="B86" t="s">
        <v>164</v>
      </c>
      <c r="C86" t="s">
        <v>17</v>
      </c>
      <c r="D86" t="s">
        <v>113</v>
      </c>
      <c r="E86" t="s">
        <v>51</v>
      </c>
      <c r="F86">
        <v>-3.6</v>
      </c>
      <c r="G86" t="s">
        <v>30</v>
      </c>
      <c r="H86" t="s">
        <v>166</v>
      </c>
      <c r="I86">
        <v>35</v>
      </c>
      <c r="J86" t="s">
        <v>172</v>
      </c>
      <c r="K86">
        <v>2025</v>
      </c>
      <c r="L86" t="s">
        <v>115</v>
      </c>
      <c r="M86">
        <v>-3.6</v>
      </c>
      <c r="N86" t="s">
        <v>137</v>
      </c>
      <c r="O86" t="s">
        <v>134</v>
      </c>
      <c r="P86" t="s">
        <v>26</v>
      </c>
    </row>
    <row r="87" spans="1:17">
      <c r="A87">
        <v>15</v>
      </c>
      <c r="B87" t="s">
        <v>164</v>
      </c>
      <c r="C87" t="s">
        <v>17</v>
      </c>
      <c r="D87" t="s">
        <v>149</v>
      </c>
      <c r="E87" t="s">
        <v>51</v>
      </c>
      <c r="F87">
        <v>-201267</v>
      </c>
      <c r="G87" t="s">
        <v>130</v>
      </c>
      <c r="H87" t="s">
        <v>166</v>
      </c>
      <c r="I87">
        <v>35</v>
      </c>
      <c r="J87" t="s">
        <v>173</v>
      </c>
      <c r="K87">
        <v>2025</v>
      </c>
      <c r="L87" t="s">
        <v>150</v>
      </c>
      <c r="M87">
        <v>-1449122.4</v>
      </c>
      <c r="N87" t="s">
        <v>133</v>
      </c>
      <c r="O87" t="s">
        <v>134</v>
      </c>
      <c r="P87" t="s">
        <v>26</v>
      </c>
    </row>
    <row r="88" spans="1:17">
      <c r="A88">
        <v>15</v>
      </c>
      <c r="B88" t="s">
        <v>164</v>
      </c>
      <c r="C88" t="s">
        <v>17</v>
      </c>
      <c r="D88" t="s">
        <v>151</v>
      </c>
      <c r="E88" t="s">
        <v>51</v>
      </c>
      <c r="F88">
        <v>-3.9</v>
      </c>
      <c r="G88" t="s">
        <v>30</v>
      </c>
      <c r="H88" t="s">
        <v>166</v>
      </c>
      <c r="I88">
        <v>35</v>
      </c>
      <c r="J88" t="s">
        <v>174</v>
      </c>
      <c r="K88">
        <v>2025</v>
      </c>
      <c r="L88" t="s">
        <v>36</v>
      </c>
      <c r="M88">
        <v>-3.9</v>
      </c>
      <c r="N88" t="s">
        <v>137</v>
      </c>
      <c r="O88" t="s">
        <v>134</v>
      </c>
      <c r="P88" t="s">
        <v>26</v>
      </c>
    </row>
    <row r="89" spans="1:17">
      <c r="A89">
        <v>15</v>
      </c>
      <c r="B89" t="s">
        <v>164</v>
      </c>
      <c r="C89" t="s">
        <v>17</v>
      </c>
      <c r="D89" t="s">
        <v>165</v>
      </c>
      <c r="E89" t="s">
        <v>57</v>
      </c>
      <c r="F89">
        <v>5701879</v>
      </c>
      <c r="G89" t="s">
        <v>130</v>
      </c>
      <c r="H89" t="s">
        <v>166</v>
      </c>
      <c r="I89">
        <v>35</v>
      </c>
      <c r="J89" t="s">
        <v>175</v>
      </c>
      <c r="K89">
        <v>2024</v>
      </c>
      <c r="L89" t="s">
        <v>23</v>
      </c>
      <c r="M89">
        <v>41053528.799999997</v>
      </c>
      <c r="N89" t="s">
        <v>133</v>
      </c>
      <c r="O89" t="s">
        <v>134</v>
      </c>
      <c r="P89" t="s">
        <v>26</v>
      </c>
    </row>
    <row r="90" spans="1:17">
      <c r="A90">
        <v>15</v>
      </c>
      <c r="B90" t="s">
        <v>164</v>
      </c>
      <c r="C90" t="s">
        <v>17</v>
      </c>
      <c r="D90" t="s">
        <v>107</v>
      </c>
      <c r="E90" t="s">
        <v>57</v>
      </c>
      <c r="F90">
        <v>2630253</v>
      </c>
      <c r="G90" t="s">
        <v>130</v>
      </c>
      <c r="H90" t="s">
        <v>166</v>
      </c>
      <c r="I90">
        <v>35</v>
      </c>
      <c r="J90" t="s">
        <v>176</v>
      </c>
      <c r="K90">
        <v>2024</v>
      </c>
      <c r="L90" t="s">
        <v>27</v>
      </c>
      <c r="M90">
        <v>18937821.600000001</v>
      </c>
      <c r="N90" t="s">
        <v>133</v>
      </c>
      <c r="O90" t="s">
        <v>134</v>
      </c>
      <c r="P90" t="s">
        <v>26</v>
      </c>
    </row>
    <row r="91" spans="1:17">
      <c r="A91">
        <v>15</v>
      </c>
      <c r="B91" t="s">
        <v>164</v>
      </c>
      <c r="C91" t="s">
        <v>17</v>
      </c>
      <c r="D91" t="s">
        <v>109</v>
      </c>
      <c r="E91" t="s">
        <v>57</v>
      </c>
      <c r="F91">
        <v>46.1</v>
      </c>
      <c r="G91" t="s">
        <v>30</v>
      </c>
      <c r="H91" t="s">
        <v>166</v>
      </c>
      <c r="I91">
        <v>35</v>
      </c>
      <c r="J91" t="s">
        <v>177</v>
      </c>
      <c r="K91">
        <v>2024</v>
      </c>
      <c r="L91" t="s">
        <v>29</v>
      </c>
      <c r="M91">
        <v>46.1</v>
      </c>
      <c r="N91" t="s">
        <v>137</v>
      </c>
      <c r="O91" t="s">
        <v>134</v>
      </c>
      <c r="P91" t="s">
        <v>26</v>
      </c>
    </row>
    <row r="92" spans="1:17">
      <c r="A92">
        <v>15</v>
      </c>
      <c r="B92" t="s">
        <v>164</v>
      </c>
      <c r="C92" t="s">
        <v>17</v>
      </c>
      <c r="D92" t="s">
        <v>170</v>
      </c>
      <c r="E92" t="s">
        <v>57</v>
      </c>
      <c r="F92">
        <v>229751</v>
      </c>
      <c r="G92" t="s">
        <v>130</v>
      </c>
      <c r="H92" t="s">
        <v>166</v>
      </c>
      <c r="I92">
        <v>35</v>
      </c>
      <c r="J92" t="s">
        <v>178</v>
      </c>
      <c r="K92">
        <v>2024</v>
      </c>
      <c r="L92" t="s">
        <v>35</v>
      </c>
      <c r="M92">
        <v>1654207.2</v>
      </c>
      <c r="N92" t="s">
        <v>133</v>
      </c>
      <c r="O92" t="s">
        <v>134</v>
      </c>
      <c r="P92" t="s">
        <v>26</v>
      </c>
    </row>
    <row r="93" spans="1:17">
      <c r="A93">
        <v>15</v>
      </c>
      <c r="B93" t="s">
        <v>164</v>
      </c>
      <c r="C93" t="s">
        <v>17</v>
      </c>
      <c r="D93" t="s">
        <v>113</v>
      </c>
      <c r="E93" t="s">
        <v>57</v>
      </c>
      <c r="F93">
        <v>4</v>
      </c>
      <c r="G93" t="s">
        <v>30</v>
      </c>
      <c r="H93" t="s">
        <v>166</v>
      </c>
      <c r="I93">
        <v>35</v>
      </c>
      <c r="J93" t="s">
        <v>179</v>
      </c>
      <c r="K93">
        <v>2024</v>
      </c>
      <c r="L93" t="s">
        <v>115</v>
      </c>
      <c r="M93">
        <v>4</v>
      </c>
      <c r="N93" t="s">
        <v>137</v>
      </c>
      <c r="O93" t="s">
        <v>134</v>
      </c>
      <c r="P93" t="s">
        <v>26</v>
      </c>
    </row>
    <row r="94" spans="1:17">
      <c r="A94">
        <v>15</v>
      </c>
      <c r="B94" t="s">
        <v>164</v>
      </c>
      <c r="C94" t="s">
        <v>17</v>
      </c>
      <c r="D94" t="s">
        <v>149</v>
      </c>
      <c r="E94" t="s">
        <v>57</v>
      </c>
      <c r="F94">
        <v>232042</v>
      </c>
      <c r="G94" t="s">
        <v>130</v>
      </c>
      <c r="H94" t="s">
        <v>166</v>
      </c>
      <c r="I94">
        <v>35</v>
      </c>
      <c r="J94" t="s">
        <v>180</v>
      </c>
      <c r="K94">
        <v>2024</v>
      </c>
      <c r="L94" t="s">
        <v>150</v>
      </c>
      <c r="M94">
        <v>1670702.4</v>
      </c>
      <c r="N94" t="s">
        <v>133</v>
      </c>
      <c r="O94" t="s">
        <v>134</v>
      </c>
      <c r="P94" t="s">
        <v>26</v>
      </c>
    </row>
    <row r="95" spans="1:17">
      <c r="A95">
        <v>15</v>
      </c>
      <c r="B95" t="s">
        <v>164</v>
      </c>
      <c r="C95" t="s">
        <v>17</v>
      </c>
      <c r="D95" t="s">
        <v>151</v>
      </c>
      <c r="E95" t="s">
        <v>57</v>
      </c>
      <c r="F95">
        <v>4.0999999999999996</v>
      </c>
      <c r="G95" t="s">
        <v>30</v>
      </c>
      <c r="H95" t="s">
        <v>166</v>
      </c>
      <c r="I95">
        <v>35</v>
      </c>
      <c r="J95" t="s">
        <v>181</v>
      </c>
      <c r="K95">
        <v>2024</v>
      </c>
      <c r="L95" t="s">
        <v>36</v>
      </c>
      <c r="M95">
        <v>4.0999999999999996</v>
      </c>
      <c r="N95" t="s">
        <v>137</v>
      </c>
      <c r="O95" t="s">
        <v>134</v>
      </c>
      <c r="P95" t="s">
        <v>26</v>
      </c>
    </row>
    <row r="96" spans="1:17">
      <c r="A96">
        <v>15</v>
      </c>
      <c r="B96" t="s">
        <v>164</v>
      </c>
      <c r="C96" t="s">
        <v>17</v>
      </c>
      <c r="D96" t="s">
        <v>165</v>
      </c>
      <c r="E96" t="s">
        <v>62</v>
      </c>
      <c r="F96">
        <v>5903165</v>
      </c>
      <c r="G96" t="s">
        <v>130</v>
      </c>
      <c r="H96" t="s">
        <v>166</v>
      </c>
      <c r="I96">
        <v>35</v>
      </c>
      <c r="J96" t="s">
        <v>182</v>
      </c>
      <c r="K96">
        <v>2023</v>
      </c>
      <c r="L96" t="s">
        <v>23</v>
      </c>
      <c r="M96">
        <v>42502788</v>
      </c>
      <c r="N96" t="s">
        <v>133</v>
      </c>
      <c r="O96" t="s">
        <v>134</v>
      </c>
      <c r="P96" t="s">
        <v>26</v>
      </c>
    </row>
    <row r="97" spans="1:17">
      <c r="A97">
        <v>15</v>
      </c>
      <c r="B97" t="s">
        <v>164</v>
      </c>
      <c r="C97" t="s">
        <v>17</v>
      </c>
      <c r="D97" t="s">
        <v>109</v>
      </c>
      <c r="E97" t="s">
        <v>62</v>
      </c>
      <c r="F97">
        <v>45.5</v>
      </c>
      <c r="G97" t="s">
        <v>30</v>
      </c>
      <c r="H97" t="s">
        <v>166</v>
      </c>
      <c r="I97">
        <v>35</v>
      </c>
      <c r="J97" t="s">
        <v>183</v>
      </c>
      <c r="K97">
        <v>2023</v>
      </c>
      <c r="L97" t="s">
        <v>29</v>
      </c>
      <c r="M97">
        <v>45.5</v>
      </c>
      <c r="N97" t="s">
        <v>137</v>
      </c>
      <c r="O97" t="s">
        <v>134</v>
      </c>
      <c r="P97" t="s">
        <v>26</v>
      </c>
    </row>
    <row r="98" spans="1:17">
      <c r="A98">
        <v>15</v>
      </c>
      <c r="B98" t="s">
        <v>164</v>
      </c>
      <c r="C98" t="s">
        <v>17</v>
      </c>
      <c r="D98" t="s">
        <v>170</v>
      </c>
      <c r="E98" t="s">
        <v>62</v>
      </c>
      <c r="F98">
        <v>0</v>
      </c>
      <c r="G98" t="s">
        <v>142</v>
      </c>
      <c r="H98" t="s">
        <v>166</v>
      </c>
      <c r="I98">
        <v>35</v>
      </c>
      <c r="J98" t="s">
        <v>184</v>
      </c>
      <c r="K98">
        <v>2023</v>
      </c>
      <c r="L98" t="s">
        <v>35</v>
      </c>
      <c r="M98">
        <v>0</v>
      </c>
      <c r="N98" t="s">
        <v>143</v>
      </c>
      <c r="O98" t="s">
        <v>134</v>
      </c>
      <c r="P98" t="s">
        <v>26</v>
      </c>
    </row>
    <row r="99" spans="1:17">
      <c r="A99">
        <v>15</v>
      </c>
      <c r="B99" t="s">
        <v>164</v>
      </c>
      <c r="C99" t="s">
        <v>17</v>
      </c>
      <c r="D99" t="s">
        <v>113</v>
      </c>
      <c r="E99" t="s">
        <v>62</v>
      </c>
      <c r="F99">
        <v>4.5</v>
      </c>
      <c r="G99" t="s">
        <v>30</v>
      </c>
      <c r="H99" t="s">
        <v>166</v>
      </c>
      <c r="I99">
        <v>35</v>
      </c>
      <c r="J99" t="s">
        <v>185</v>
      </c>
      <c r="K99">
        <v>2023</v>
      </c>
      <c r="L99" t="s">
        <v>115</v>
      </c>
      <c r="M99">
        <v>4.5</v>
      </c>
      <c r="N99" t="s">
        <v>137</v>
      </c>
      <c r="O99" t="s">
        <v>134</v>
      </c>
      <c r="P99" t="s">
        <v>26</v>
      </c>
    </row>
    <row r="100" spans="1:17">
      <c r="A100">
        <v>15</v>
      </c>
      <c r="B100" t="s">
        <v>164</v>
      </c>
      <c r="C100" t="s">
        <v>17</v>
      </c>
      <c r="D100" t="s">
        <v>149</v>
      </c>
      <c r="E100" t="s">
        <v>62</v>
      </c>
      <c r="F100">
        <v>0</v>
      </c>
      <c r="G100" t="s">
        <v>142</v>
      </c>
      <c r="H100" t="s">
        <v>166</v>
      </c>
      <c r="I100">
        <v>35</v>
      </c>
      <c r="J100" t="s">
        <v>186</v>
      </c>
      <c r="K100">
        <v>2023</v>
      </c>
      <c r="L100" t="s">
        <v>150</v>
      </c>
      <c r="M100">
        <v>0</v>
      </c>
      <c r="N100" t="s">
        <v>143</v>
      </c>
      <c r="O100" t="s">
        <v>134</v>
      </c>
      <c r="P100" t="s">
        <v>26</v>
      </c>
    </row>
    <row r="101" spans="1:17">
      <c r="A101">
        <v>15</v>
      </c>
      <c r="B101" t="s">
        <v>164</v>
      </c>
      <c r="C101" t="s">
        <v>17</v>
      </c>
      <c r="D101" t="s">
        <v>151</v>
      </c>
      <c r="E101" t="s">
        <v>62</v>
      </c>
      <c r="F101">
        <v>3.8</v>
      </c>
      <c r="G101" t="s">
        <v>30</v>
      </c>
      <c r="H101" t="s">
        <v>166</v>
      </c>
      <c r="I101">
        <v>35</v>
      </c>
      <c r="J101" t="s">
        <v>187</v>
      </c>
      <c r="K101">
        <v>2023</v>
      </c>
      <c r="L101" t="s">
        <v>36</v>
      </c>
      <c r="M101">
        <v>3.8</v>
      </c>
      <c r="N101" t="s">
        <v>137</v>
      </c>
      <c r="O101" t="s">
        <v>134</v>
      </c>
      <c r="P101" t="s">
        <v>26</v>
      </c>
    </row>
    <row r="102" spans="1:17">
      <c r="A102">
        <v>5</v>
      </c>
      <c r="B102" t="s">
        <v>589</v>
      </c>
      <c r="C102" t="s">
        <v>17</v>
      </c>
      <c r="D102" t="s">
        <v>151</v>
      </c>
      <c r="E102" t="s">
        <v>57</v>
      </c>
      <c r="F102">
        <f>F548/F541*100</f>
        <v>9.423957224925795</v>
      </c>
      <c r="G102" t="s">
        <v>30</v>
      </c>
      <c r="H102" t="s">
        <v>190</v>
      </c>
      <c r="I102">
        <v>10</v>
      </c>
      <c r="J102" t="s">
        <v>192</v>
      </c>
      <c r="K102">
        <v>2024</v>
      </c>
      <c r="L102" t="s">
        <v>36</v>
      </c>
      <c r="M102">
        <f>F102</f>
        <v>9.423957224925795</v>
      </c>
      <c r="N102" t="s">
        <v>137</v>
      </c>
      <c r="O102" t="s">
        <v>134</v>
      </c>
      <c r="P102" t="s">
        <v>26</v>
      </c>
      <c r="Q102" s="9" t="s">
        <v>624</v>
      </c>
    </row>
    <row r="103" spans="1:17">
      <c r="A103">
        <v>5</v>
      </c>
      <c r="B103" t="s">
        <v>589</v>
      </c>
      <c r="C103" t="s">
        <v>17</v>
      </c>
      <c r="D103" t="s">
        <v>102</v>
      </c>
      <c r="E103" t="s">
        <v>62</v>
      </c>
      <c r="F103">
        <v>570463000000</v>
      </c>
      <c r="G103" t="s">
        <v>189</v>
      </c>
      <c r="H103" t="s">
        <v>190</v>
      </c>
      <c r="I103">
        <v>10</v>
      </c>
      <c r="J103" t="s">
        <v>193</v>
      </c>
      <c r="K103">
        <v>2023</v>
      </c>
      <c r="L103" t="s">
        <v>23</v>
      </c>
      <c r="M103">
        <v>28523150</v>
      </c>
      <c r="N103" t="s">
        <v>194</v>
      </c>
      <c r="O103" t="s">
        <v>134</v>
      </c>
      <c r="P103" t="s">
        <v>26</v>
      </c>
      <c r="Q103" s="9" t="s">
        <v>624</v>
      </c>
    </row>
    <row r="104" spans="1:17">
      <c r="A104">
        <v>5</v>
      </c>
      <c r="B104" t="s">
        <v>589</v>
      </c>
      <c r="C104" t="s">
        <v>17</v>
      </c>
      <c r="D104" t="s">
        <v>107</v>
      </c>
      <c r="E104" t="s">
        <v>62</v>
      </c>
      <c r="F104">
        <v>296896000000</v>
      </c>
      <c r="G104" t="s">
        <v>189</v>
      </c>
      <c r="H104" t="s">
        <v>190</v>
      </c>
      <c r="I104">
        <v>10</v>
      </c>
      <c r="J104" t="s">
        <v>195</v>
      </c>
      <c r="K104">
        <v>2023</v>
      </c>
      <c r="L104" t="s">
        <v>27</v>
      </c>
      <c r="M104">
        <v>14844800</v>
      </c>
      <c r="N104" t="s">
        <v>194</v>
      </c>
      <c r="O104" t="s">
        <v>134</v>
      </c>
      <c r="P104" t="s">
        <v>26</v>
      </c>
      <c r="Q104" s="9" t="s">
        <v>624</v>
      </c>
    </row>
    <row r="105" spans="1:17">
      <c r="A105">
        <v>5</v>
      </c>
      <c r="B105" t="s">
        <v>589</v>
      </c>
      <c r="C105" t="s">
        <v>17</v>
      </c>
      <c r="D105" t="s">
        <v>109</v>
      </c>
      <c r="E105" t="s">
        <v>62</v>
      </c>
      <c r="F105">
        <v>52</v>
      </c>
      <c r="G105" t="s">
        <v>30</v>
      </c>
      <c r="H105" t="s">
        <v>190</v>
      </c>
      <c r="I105">
        <v>10</v>
      </c>
      <c r="J105" t="s">
        <v>196</v>
      </c>
      <c r="K105">
        <v>2023</v>
      </c>
      <c r="L105" t="s">
        <v>29</v>
      </c>
      <c r="M105">
        <v>52</v>
      </c>
      <c r="N105" t="s">
        <v>137</v>
      </c>
      <c r="O105" t="s">
        <v>134</v>
      </c>
      <c r="P105" t="s">
        <v>26</v>
      </c>
      <c r="Q105" s="9" t="s">
        <v>624</v>
      </c>
    </row>
    <row r="106" spans="1:17">
      <c r="A106">
        <v>5</v>
      </c>
      <c r="B106" t="s">
        <v>589</v>
      </c>
      <c r="C106" t="s">
        <v>17</v>
      </c>
      <c r="D106" t="s">
        <v>111</v>
      </c>
      <c r="E106" t="s">
        <v>62</v>
      </c>
      <c r="F106">
        <v>54215000000</v>
      </c>
      <c r="G106" t="s">
        <v>189</v>
      </c>
      <c r="H106" t="s">
        <v>190</v>
      </c>
      <c r="I106">
        <v>10</v>
      </c>
      <c r="J106" t="s">
        <v>197</v>
      </c>
      <c r="K106">
        <v>2023</v>
      </c>
      <c r="L106" t="s">
        <v>35</v>
      </c>
      <c r="M106">
        <v>2710750</v>
      </c>
      <c r="N106" t="s">
        <v>194</v>
      </c>
      <c r="O106" t="s">
        <v>134</v>
      </c>
      <c r="P106" t="s">
        <v>26</v>
      </c>
      <c r="Q106" s="9" t="s">
        <v>624</v>
      </c>
    </row>
    <row r="107" spans="1:17">
      <c r="A107">
        <v>5</v>
      </c>
      <c r="B107" t="s">
        <v>589</v>
      </c>
      <c r="C107" t="s">
        <v>17</v>
      </c>
      <c r="D107" t="s">
        <v>113</v>
      </c>
      <c r="E107" t="s">
        <v>62</v>
      </c>
      <c r="F107">
        <v>9.5</v>
      </c>
      <c r="G107" t="s">
        <v>30</v>
      </c>
      <c r="H107" t="s">
        <v>190</v>
      </c>
      <c r="I107">
        <v>10</v>
      </c>
      <c r="J107" t="s">
        <v>198</v>
      </c>
      <c r="K107">
        <v>2023</v>
      </c>
      <c r="L107" t="s">
        <v>115</v>
      </c>
      <c r="M107">
        <v>9.5</v>
      </c>
      <c r="N107" t="s">
        <v>137</v>
      </c>
      <c r="O107" t="s">
        <v>134</v>
      </c>
      <c r="P107" t="s">
        <v>26</v>
      </c>
      <c r="Q107" s="9" t="s">
        <v>624</v>
      </c>
    </row>
    <row r="108" spans="1:17">
      <c r="A108">
        <v>5</v>
      </c>
      <c r="B108" t="s">
        <v>589</v>
      </c>
      <c r="C108" t="s">
        <v>17</v>
      </c>
      <c r="D108" t="s">
        <v>191</v>
      </c>
      <c r="E108" t="s">
        <v>62</v>
      </c>
      <c r="F108">
        <v>35453000000</v>
      </c>
      <c r="G108" t="s">
        <v>189</v>
      </c>
      <c r="H108" t="s">
        <v>190</v>
      </c>
      <c r="I108">
        <v>10</v>
      </c>
      <c r="J108" t="s">
        <v>199</v>
      </c>
      <c r="K108">
        <v>2023</v>
      </c>
      <c r="L108" t="s">
        <v>150</v>
      </c>
      <c r="M108">
        <v>1772650</v>
      </c>
      <c r="N108" t="s">
        <v>194</v>
      </c>
      <c r="O108" t="s">
        <v>134</v>
      </c>
      <c r="P108" t="s">
        <v>26</v>
      </c>
      <c r="Q108" s="9" t="s">
        <v>624</v>
      </c>
    </row>
    <row r="109" spans="1:17">
      <c r="A109">
        <v>5</v>
      </c>
      <c r="B109" t="s">
        <v>589</v>
      </c>
      <c r="C109" t="s">
        <v>17</v>
      </c>
      <c r="D109" t="s">
        <v>151</v>
      </c>
      <c r="E109" t="s">
        <v>62</v>
      </c>
      <c r="F109">
        <v>6.2</v>
      </c>
      <c r="G109" t="s">
        <v>30</v>
      </c>
      <c r="H109" t="s">
        <v>190</v>
      </c>
      <c r="I109">
        <v>10</v>
      </c>
      <c r="J109" t="s">
        <v>200</v>
      </c>
      <c r="K109">
        <v>2023</v>
      </c>
      <c r="L109" t="s">
        <v>36</v>
      </c>
      <c r="M109">
        <v>6.2</v>
      </c>
      <c r="N109" t="s">
        <v>137</v>
      </c>
      <c r="O109" t="s">
        <v>134</v>
      </c>
      <c r="P109" t="s">
        <v>26</v>
      </c>
      <c r="Q109" s="9" t="s">
        <v>624</v>
      </c>
    </row>
    <row r="110" spans="1:17" ht="15">
      <c r="A110">
        <v>18</v>
      </c>
      <c r="B110" t="s">
        <v>930</v>
      </c>
      <c r="C110" t="s">
        <v>586</v>
      </c>
      <c r="D110" t="s">
        <v>201</v>
      </c>
      <c r="E110" t="s">
        <v>51</v>
      </c>
      <c r="F110">
        <v>10.5</v>
      </c>
      <c r="G110" t="s">
        <v>30</v>
      </c>
      <c r="H110" t="s">
        <v>21</v>
      </c>
      <c r="I110">
        <v>13</v>
      </c>
      <c r="J110" t="s">
        <v>202</v>
      </c>
      <c r="K110">
        <v>2025</v>
      </c>
      <c r="L110" s="13" t="s">
        <v>1192</v>
      </c>
      <c r="M110">
        <v>10.5</v>
      </c>
      <c r="N110" t="s">
        <v>204</v>
      </c>
      <c r="O110" t="s">
        <v>134</v>
      </c>
      <c r="P110" t="s">
        <v>26</v>
      </c>
      <c r="Q110" s="9" t="s">
        <v>1199</v>
      </c>
    </row>
    <row r="111" spans="1:17" ht="15">
      <c r="A111">
        <v>18</v>
      </c>
      <c r="B111" t="s">
        <v>930</v>
      </c>
      <c r="C111" t="s">
        <v>586</v>
      </c>
      <c r="D111" t="s">
        <v>205</v>
      </c>
      <c r="E111" t="s">
        <v>51</v>
      </c>
      <c r="F111">
        <v>11.5</v>
      </c>
      <c r="G111" t="s">
        <v>30</v>
      </c>
      <c r="H111" t="s">
        <v>21</v>
      </c>
      <c r="I111">
        <v>13</v>
      </c>
      <c r="J111" t="s">
        <v>206</v>
      </c>
      <c r="K111">
        <v>2025</v>
      </c>
      <c r="L111" s="13" t="s">
        <v>1194</v>
      </c>
      <c r="M111">
        <v>11.5</v>
      </c>
      <c r="N111" t="s">
        <v>204</v>
      </c>
      <c r="O111" t="s">
        <v>134</v>
      </c>
      <c r="P111" t="s">
        <v>26</v>
      </c>
      <c r="Q111" s="9" t="s">
        <v>1199</v>
      </c>
    </row>
    <row r="112" spans="1:17">
      <c r="A112">
        <v>18</v>
      </c>
      <c r="B112" t="s">
        <v>930</v>
      </c>
      <c r="C112" t="s">
        <v>586</v>
      </c>
      <c r="D112" t="s">
        <v>1195</v>
      </c>
      <c r="E112" t="s">
        <v>51</v>
      </c>
      <c r="F112" s="2">
        <v>2.7</v>
      </c>
      <c r="G112" t="s">
        <v>30</v>
      </c>
      <c r="H112" t="s">
        <v>21</v>
      </c>
      <c r="I112">
        <v>13</v>
      </c>
      <c r="K112">
        <v>2025</v>
      </c>
      <c r="L112" t="s">
        <v>1198</v>
      </c>
      <c r="M112" s="2">
        <v>2.7</v>
      </c>
      <c r="P112" s="1">
        <v>46182</v>
      </c>
      <c r="Q112" s="9" t="s">
        <v>1199</v>
      </c>
    </row>
    <row r="113" spans="1:17">
      <c r="A113">
        <v>18</v>
      </c>
      <c r="B113" t="s">
        <v>930</v>
      </c>
      <c r="C113" t="s">
        <v>586</v>
      </c>
      <c r="D113" t="s">
        <v>1196</v>
      </c>
      <c r="E113" t="s">
        <v>51</v>
      </c>
      <c r="F113" s="2">
        <f>SUM(F110:F112)</f>
        <v>24.7</v>
      </c>
      <c r="G113" t="s">
        <v>30</v>
      </c>
      <c r="H113" t="s">
        <v>21</v>
      </c>
      <c r="I113">
        <v>13</v>
      </c>
      <c r="K113">
        <v>2025</v>
      </c>
      <c r="L113" t="s">
        <v>1196</v>
      </c>
      <c r="M113" s="2">
        <v>24.7</v>
      </c>
      <c r="P113" s="1">
        <v>46182</v>
      </c>
      <c r="Q113" s="9" t="s">
        <v>1199</v>
      </c>
    </row>
    <row r="114" spans="1:17" ht="15">
      <c r="A114">
        <v>18</v>
      </c>
      <c r="B114" t="s">
        <v>930</v>
      </c>
      <c r="C114" t="s">
        <v>586</v>
      </c>
      <c r="D114" t="s">
        <v>201</v>
      </c>
      <c r="E114" t="s">
        <v>57</v>
      </c>
      <c r="F114">
        <v>10.199999999999999</v>
      </c>
      <c r="G114" t="s">
        <v>30</v>
      </c>
      <c r="H114" t="s">
        <v>21</v>
      </c>
      <c r="I114">
        <v>13</v>
      </c>
      <c r="J114" t="s">
        <v>207</v>
      </c>
      <c r="K114">
        <v>2024</v>
      </c>
      <c r="L114" s="13" t="s">
        <v>1192</v>
      </c>
      <c r="M114">
        <v>10.199999999999999</v>
      </c>
      <c r="N114" t="s">
        <v>204</v>
      </c>
      <c r="O114" t="s">
        <v>134</v>
      </c>
      <c r="P114" t="s">
        <v>26</v>
      </c>
      <c r="Q114" s="9" t="s">
        <v>1199</v>
      </c>
    </row>
    <row r="115" spans="1:17" ht="15">
      <c r="A115">
        <v>18</v>
      </c>
      <c r="B115" t="s">
        <v>930</v>
      </c>
      <c r="C115" t="s">
        <v>586</v>
      </c>
      <c r="D115" t="s">
        <v>205</v>
      </c>
      <c r="E115" t="s">
        <v>57</v>
      </c>
      <c r="F115">
        <v>11</v>
      </c>
      <c r="G115" t="s">
        <v>30</v>
      </c>
      <c r="H115" t="s">
        <v>21</v>
      </c>
      <c r="I115">
        <v>13</v>
      </c>
      <c r="J115" t="s">
        <v>208</v>
      </c>
      <c r="K115">
        <v>2024</v>
      </c>
      <c r="L115" s="13" t="s">
        <v>1194</v>
      </c>
      <c r="M115">
        <v>11</v>
      </c>
      <c r="N115" t="s">
        <v>204</v>
      </c>
      <c r="O115" t="s">
        <v>134</v>
      </c>
      <c r="P115" t="s">
        <v>26</v>
      </c>
      <c r="Q115" s="9" t="s">
        <v>1199</v>
      </c>
    </row>
    <row r="116" spans="1:17">
      <c r="A116">
        <v>19</v>
      </c>
      <c r="B116" t="s">
        <v>930</v>
      </c>
      <c r="C116" t="s">
        <v>586</v>
      </c>
      <c r="D116" t="s">
        <v>1195</v>
      </c>
      <c r="E116" t="s">
        <v>57</v>
      </c>
      <c r="F116" s="2">
        <v>2.8</v>
      </c>
      <c r="G116" t="s">
        <v>30</v>
      </c>
      <c r="H116" t="s">
        <v>21</v>
      </c>
      <c r="I116">
        <v>13</v>
      </c>
      <c r="K116">
        <v>2024</v>
      </c>
      <c r="L116" t="s">
        <v>1198</v>
      </c>
      <c r="M116" s="2">
        <v>2.8</v>
      </c>
      <c r="P116" s="1">
        <v>46182</v>
      </c>
      <c r="Q116" s="9" t="s">
        <v>1199</v>
      </c>
    </row>
    <row r="117" spans="1:17">
      <c r="A117">
        <v>20</v>
      </c>
      <c r="B117" t="s">
        <v>930</v>
      </c>
      <c r="C117" t="s">
        <v>586</v>
      </c>
      <c r="D117" t="s">
        <v>1196</v>
      </c>
      <c r="E117" t="s">
        <v>57</v>
      </c>
      <c r="F117" s="2">
        <f>SUM(F114:F116)</f>
        <v>24</v>
      </c>
      <c r="G117" t="s">
        <v>30</v>
      </c>
      <c r="H117" t="s">
        <v>21</v>
      </c>
      <c r="I117">
        <v>13</v>
      </c>
      <c r="K117">
        <v>2024</v>
      </c>
      <c r="L117" t="s">
        <v>1196</v>
      </c>
      <c r="M117" s="7">
        <v>24</v>
      </c>
      <c r="P117" s="1">
        <v>46182</v>
      </c>
      <c r="Q117" s="9" t="s">
        <v>1199</v>
      </c>
    </row>
    <row r="118" spans="1:17" ht="15">
      <c r="A118">
        <v>21</v>
      </c>
      <c r="B118" t="s">
        <v>930</v>
      </c>
      <c r="C118" t="s">
        <v>586</v>
      </c>
      <c r="D118" t="s">
        <v>201</v>
      </c>
      <c r="E118" t="s">
        <v>62</v>
      </c>
      <c r="F118">
        <v>10</v>
      </c>
      <c r="G118" t="s">
        <v>30</v>
      </c>
      <c r="H118" t="s">
        <v>21</v>
      </c>
      <c r="I118">
        <v>13</v>
      </c>
      <c r="J118" t="s">
        <v>209</v>
      </c>
      <c r="K118">
        <v>2023</v>
      </c>
      <c r="L118" s="13" t="s">
        <v>1192</v>
      </c>
      <c r="M118">
        <v>10</v>
      </c>
      <c r="N118" t="s">
        <v>204</v>
      </c>
      <c r="O118" t="s">
        <v>134</v>
      </c>
      <c r="P118" t="s">
        <v>26</v>
      </c>
      <c r="Q118" s="9" t="s">
        <v>1199</v>
      </c>
    </row>
    <row r="119" spans="1:17" ht="15">
      <c r="A119">
        <v>22</v>
      </c>
      <c r="B119" t="s">
        <v>930</v>
      </c>
      <c r="C119" t="s">
        <v>586</v>
      </c>
      <c r="D119" t="s">
        <v>205</v>
      </c>
      <c r="E119" t="s">
        <v>62</v>
      </c>
      <c r="F119">
        <v>10.8</v>
      </c>
      <c r="G119" t="s">
        <v>30</v>
      </c>
      <c r="H119" t="s">
        <v>21</v>
      </c>
      <c r="I119">
        <v>13</v>
      </c>
      <c r="J119" t="s">
        <v>210</v>
      </c>
      <c r="K119">
        <v>2023</v>
      </c>
      <c r="L119" s="13" t="s">
        <v>1194</v>
      </c>
      <c r="M119">
        <v>10.8</v>
      </c>
      <c r="N119" t="s">
        <v>204</v>
      </c>
      <c r="O119" t="s">
        <v>134</v>
      </c>
      <c r="P119" t="s">
        <v>26</v>
      </c>
      <c r="Q119" s="9" t="s">
        <v>1199</v>
      </c>
    </row>
    <row r="120" spans="1:17">
      <c r="A120">
        <v>23</v>
      </c>
      <c r="B120" t="s">
        <v>930</v>
      </c>
      <c r="C120" t="s">
        <v>586</v>
      </c>
      <c r="D120" t="s">
        <v>1195</v>
      </c>
      <c r="E120" t="s">
        <v>62</v>
      </c>
      <c r="F120">
        <v>2.6</v>
      </c>
      <c r="G120" t="s">
        <v>30</v>
      </c>
      <c r="H120" t="s">
        <v>21</v>
      </c>
      <c r="I120">
        <v>13</v>
      </c>
      <c r="K120">
        <v>2023</v>
      </c>
      <c r="L120" t="s">
        <v>1198</v>
      </c>
      <c r="M120">
        <v>2.6</v>
      </c>
      <c r="P120" s="1">
        <v>46182</v>
      </c>
      <c r="Q120" s="9" t="s">
        <v>1199</v>
      </c>
    </row>
    <row r="121" spans="1:17">
      <c r="A121">
        <v>24</v>
      </c>
      <c r="B121" t="s">
        <v>930</v>
      </c>
      <c r="C121" t="s">
        <v>586</v>
      </c>
      <c r="D121" t="s">
        <v>1196</v>
      </c>
      <c r="E121" t="s">
        <v>62</v>
      </c>
      <c r="F121" s="2">
        <f>SUM(F118:F120)</f>
        <v>23.400000000000002</v>
      </c>
      <c r="G121" t="s">
        <v>30</v>
      </c>
      <c r="H121" t="s">
        <v>21</v>
      </c>
      <c r="I121">
        <v>13</v>
      </c>
      <c r="K121">
        <v>2023</v>
      </c>
      <c r="L121" t="s">
        <v>1196</v>
      </c>
      <c r="M121" s="7">
        <v>23.400000000000002</v>
      </c>
      <c r="P121" s="1">
        <v>46182</v>
      </c>
      <c r="Q121" s="9" t="s">
        <v>1199</v>
      </c>
    </row>
    <row r="122" spans="1:17" ht="15">
      <c r="A122">
        <v>4</v>
      </c>
      <c r="B122" t="s">
        <v>932</v>
      </c>
      <c r="C122" t="s">
        <v>101</v>
      </c>
      <c r="D122" t="s">
        <v>211</v>
      </c>
      <c r="E122" t="s">
        <v>51</v>
      </c>
      <c r="F122">
        <v>42</v>
      </c>
      <c r="G122" t="s">
        <v>30</v>
      </c>
      <c r="H122" t="s">
        <v>104</v>
      </c>
      <c r="I122">
        <v>111</v>
      </c>
      <c r="J122" t="s">
        <v>212</v>
      </c>
      <c r="K122">
        <v>2025</v>
      </c>
      <c r="L122" s="13" t="s">
        <v>822</v>
      </c>
      <c r="M122">
        <v>42</v>
      </c>
      <c r="N122" t="s">
        <v>213</v>
      </c>
      <c r="O122" t="s">
        <v>101</v>
      </c>
      <c r="P122" t="s">
        <v>26</v>
      </c>
      <c r="Q122" s="9" t="s">
        <v>1199</v>
      </c>
    </row>
    <row r="123" spans="1:17" ht="15">
      <c r="A123">
        <v>4</v>
      </c>
      <c r="B123" t="s">
        <v>932</v>
      </c>
      <c r="C123" t="s">
        <v>101</v>
      </c>
      <c r="D123" t="s">
        <v>211</v>
      </c>
      <c r="E123" t="s">
        <v>57</v>
      </c>
      <c r="F123">
        <v>43</v>
      </c>
      <c r="G123" t="s">
        <v>30</v>
      </c>
      <c r="H123" t="s">
        <v>104</v>
      </c>
      <c r="I123">
        <v>111</v>
      </c>
      <c r="J123" t="s">
        <v>214</v>
      </c>
      <c r="K123">
        <v>2024</v>
      </c>
      <c r="L123" s="13" t="s">
        <v>822</v>
      </c>
      <c r="M123">
        <v>43</v>
      </c>
      <c r="N123" t="s">
        <v>213</v>
      </c>
      <c r="O123" t="s">
        <v>101</v>
      </c>
      <c r="P123" t="s">
        <v>26</v>
      </c>
      <c r="Q123" s="9" t="s">
        <v>1199</v>
      </c>
    </row>
    <row r="124" spans="1:17" ht="15">
      <c r="A124">
        <v>4</v>
      </c>
      <c r="B124" t="s">
        <v>932</v>
      </c>
      <c r="C124" t="s">
        <v>101</v>
      </c>
      <c r="D124" t="s">
        <v>211</v>
      </c>
      <c r="E124" t="s">
        <v>62</v>
      </c>
      <c r="F124">
        <v>45</v>
      </c>
      <c r="G124" t="s">
        <v>30</v>
      </c>
      <c r="H124" t="s">
        <v>104</v>
      </c>
      <c r="I124">
        <v>111</v>
      </c>
      <c r="J124" t="s">
        <v>215</v>
      </c>
      <c r="K124">
        <v>2023</v>
      </c>
      <c r="L124" s="13" t="s">
        <v>822</v>
      </c>
      <c r="M124">
        <v>45</v>
      </c>
      <c r="N124" t="s">
        <v>213</v>
      </c>
      <c r="O124" t="s">
        <v>101</v>
      </c>
      <c r="P124" t="s">
        <v>26</v>
      </c>
      <c r="Q124" s="9" t="s">
        <v>1199</v>
      </c>
    </row>
    <row r="125" spans="1:17" ht="15">
      <c r="A125">
        <v>2</v>
      </c>
      <c r="B125" t="s">
        <v>129</v>
      </c>
      <c r="C125" t="s">
        <v>17</v>
      </c>
      <c r="D125" t="s">
        <v>216</v>
      </c>
      <c r="E125" t="s">
        <v>57</v>
      </c>
      <c r="F125">
        <v>43.1</v>
      </c>
      <c r="G125" t="s">
        <v>30</v>
      </c>
      <c r="H125" t="s">
        <v>459</v>
      </c>
      <c r="I125">
        <v>24</v>
      </c>
      <c r="J125" t="s">
        <v>217</v>
      </c>
      <c r="K125">
        <v>2024</v>
      </c>
      <c r="L125" s="13" t="s">
        <v>822</v>
      </c>
      <c r="M125" s="2">
        <v>43.1</v>
      </c>
      <c r="N125" t="s">
        <v>213</v>
      </c>
      <c r="O125" t="s">
        <v>134</v>
      </c>
      <c r="P125" t="s">
        <v>26</v>
      </c>
      <c r="Q125" t="s">
        <v>624</v>
      </c>
    </row>
    <row r="126" spans="1:17" ht="15">
      <c r="A126">
        <v>2</v>
      </c>
      <c r="B126" t="s">
        <v>129</v>
      </c>
      <c r="C126" t="s">
        <v>17</v>
      </c>
      <c r="D126" t="s">
        <v>218</v>
      </c>
      <c r="E126" t="s">
        <v>57</v>
      </c>
      <c r="F126">
        <v>9.5</v>
      </c>
      <c r="G126" t="s">
        <v>30</v>
      </c>
      <c r="H126" t="s">
        <v>131</v>
      </c>
      <c r="I126">
        <v>24</v>
      </c>
      <c r="J126" t="s">
        <v>219</v>
      </c>
      <c r="K126">
        <v>2024</v>
      </c>
      <c r="L126" s="13" t="s">
        <v>1192</v>
      </c>
      <c r="M126" s="2">
        <v>9.5</v>
      </c>
      <c r="N126" t="s">
        <v>213</v>
      </c>
      <c r="O126" t="s">
        <v>134</v>
      </c>
      <c r="P126" t="s">
        <v>26</v>
      </c>
    </row>
    <row r="127" spans="1:17" ht="15">
      <c r="A127">
        <v>2</v>
      </c>
      <c r="B127" t="s">
        <v>129</v>
      </c>
      <c r="C127" t="s">
        <v>17</v>
      </c>
      <c r="D127" t="s">
        <v>216</v>
      </c>
      <c r="E127" t="s">
        <v>62</v>
      </c>
      <c r="F127">
        <v>42.1</v>
      </c>
      <c r="G127" t="s">
        <v>30</v>
      </c>
      <c r="H127" t="s">
        <v>459</v>
      </c>
      <c r="I127">
        <v>24</v>
      </c>
      <c r="J127" t="s">
        <v>220</v>
      </c>
      <c r="K127">
        <v>2023</v>
      </c>
      <c r="L127" s="13" t="s">
        <v>822</v>
      </c>
      <c r="M127" s="2">
        <v>42.1</v>
      </c>
      <c r="N127" t="s">
        <v>213</v>
      </c>
      <c r="O127" t="s">
        <v>134</v>
      </c>
      <c r="P127" t="s">
        <v>26</v>
      </c>
      <c r="Q127" t="s">
        <v>624</v>
      </c>
    </row>
    <row r="128" spans="1:17" ht="15">
      <c r="A128">
        <v>2</v>
      </c>
      <c r="B128" t="s">
        <v>129</v>
      </c>
      <c r="C128" t="s">
        <v>17</v>
      </c>
      <c r="D128" t="s">
        <v>218</v>
      </c>
      <c r="E128" t="s">
        <v>62</v>
      </c>
      <c r="F128">
        <v>9</v>
      </c>
      <c r="G128" t="s">
        <v>30</v>
      </c>
      <c r="H128" t="s">
        <v>131</v>
      </c>
      <c r="I128">
        <v>24</v>
      </c>
      <c r="J128" t="s">
        <v>221</v>
      </c>
      <c r="K128">
        <v>2023</v>
      </c>
      <c r="L128" s="13" t="s">
        <v>1192</v>
      </c>
      <c r="M128" s="2">
        <v>9</v>
      </c>
      <c r="N128" t="s">
        <v>213</v>
      </c>
      <c r="O128" t="s">
        <v>134</v>
      </c>
      <c r="P128" t="s">
        <v>26</v>
      </c>
    </row>
    <row r="129" spans="1:17">
      <c r="A129">
        <v>18</v>
      </c>
      <c r="B129" t="s">
        <v>930</v>
      </c>
      <c r="C129" t="s">
        <v>586</v>
      </c>
      <c r="D129" t="s">
        <v>223</v>
      </c>
      <c r="E129" t="s">
        <v>51</v>
      </c>
      <c r="F129">
        <v>85</v>
      </c>
      <c r="G129" t="s">
        <v>224</v>
      </c>
      <c r="H129" t="s">
        <v>21</v>
      </c>
      <c r="I129">
        <v>13</v>
      </c>
      <c r="J129" t="s">
        <v>225</v>
      </c>
      <c r="K129">
        <v>2025</v>
      </c>
      <c r="L129" t="s">
        <v>226</v>
      </c>
      <c r="M129">
        <v>85</v>
      </c>
      <c r="N129" t="s">
        <v>227</v>
      </c>
      <c r="O129" t="s">
        <v>134</v>
      </c>
      <c r="P129" t="s">
        <v>26</v>
      </c>
    </row>
    <row r="130" spans="1:17">
      <c r="A130">
        <v>18</v>
      </c>
      <c r="B130" t="s">
        <v>930</v>
      </c>
      <c r="C130" t="s">
        <v>586</v>
      </c>
      <c r="D130" t="s">
        <v>223</v>
      </c>
      <c r="E130" t="s">
        <v>57</v>
      </c>
      <c r="F130">
        <v>82</v>
      </c>
      <c r="G130" t="s">
        <v>224</v>
      </c>
      <c r="H130" t="s">
        <v>21</v>
      </c>
      <c r="I130">
        <v>13</v>
      </c>
      <c r="J130" t="s">
        <v>228</v>
      </c>
      <c r="K130">
        <v>2024</v>
      </c>
      <c r="L130" t="s">
        <v>226</v>
      </c>
      <c r="M130">
        <v>82</v>
      </c>
      <c r="N130" t="s">
        <v>227</v>
      </c>
      <c r="O130" t="s">
        <v>134</v>
      </c>
      <c r="P130" t="s">
        <v>26</v>
      </c>
    </row>
    <row r="131" spans="1:17">
      <c r="A131">
        <v>18</v>
      </c>
      <c r="B131" t="s">
        <v>930</v>
      </c>
      <c r="C131" t="s">
        <v>586</v>
      </c>
      <c r="D131" t="s">
        <v>223</v>
      </c>
      <c r="E131" t="s">
        <v>62</v>
      </c>
      <c r="F131">
        <v>88</v>
      </c>
      <c r="G131" t="s">
        <v>224</v>
      </c>
      <c r="H131" t="s">
        <v>21</v>
      </c>
      <c r="I131">
        <v>13</v>
      </c>
      <c r="J131" t="s">
        <v>229</v>
      </c>
      <c r="K131">
        <v>2023</v>
      </c>
      <c r="L131" t="s">
        <v>226</v>
      </c>
      <c r="M131">
        <v>88</v>
      </c>
      <c r="N131" t="s">
        <v>227</v>
      </c>
      <c r="O131" t="s">
        <v>134</v>
      </c>
      <c r="P131" t="s">
        <v>26</v>
      </c>
    </row>
    <row r="132" spans="1:17">
      <c r="A132">
        <v>18</v>
      </c>
      <c r="B132" t="s">
        <v>930</v>
      </c>
      <c r="C132" t="s">
        <v>17</v>
      </c>
      <c r="D132" t="s">
        <v>230</v>
      </c>
      <c r="E132" t="s">
        <v>51</v>
      </c>
      <c r="F132">
        <v>6684.916666666667</v>
      </c>
      <c r="G132" t="s">
        <v>231</v>
      </c>
      <c r="H132" t="s">
        <v>21</v>
      </c>
      <c r="I132">
        <v>15</v>
      </c>
      <c r="J132" t="s">
        <v>232</v>
      </c>
      <c r="K132">
        <v>2025</v>
      </c>
      <c r="L132" t="s">
        <v>233</v>
      </c>
      <c r="M132">
        <v>6684.916666666667</v>
      </c>
      <c r="N132" t="s">
        <v>234</v>
      </c>
      <c r="O132" t="s">
        <v>235</v>
      </c>
      <c r="P132" t="s">
        <v>26</v>
      </c>
    </row>
    <row r="133" spans="1:17">
      <c r="A133">
        <v>18</v>
      </c>
      <c r="B133" t="s">
        <v>930</v>
      </c>
      <c r="C133" t="s">
        <v>17</v>
      </c>
      <c r="D133" t="s">
        <v>230</v>
      </c>
      <c r="E133" t="s">
        <v>57</v>
      </c>
      <c r="F133">
        <v>6438.727272727273</v>
      </c>
      <c r="G133" t="s">
        <v>231</v>
      </c>
      <c r="H133" t="s">
        <v>21</v>
      </c>
      <c r="I133">
        <v>15</v>
      </c>
      <c r="J133" t="s">
        <v>236</v>
      </c>
      <c r="K133">
        <v>2024</v>
      </c>
      <c r="L133" t="s">
        <v>233</v>
      </c>
      <c r="M133">
        <v>6438.727272727273</v>
      </c>
      <c r="N133" t="s">
        <v>234</v>
      </c>
      <c r="O133" t="s">
        <v>237</v>
      </c>
      <c r="P133" t="s">
        <v>26</v>
      </c>
    </row>
    <row r="134" spans="1:17">
      <c r="A134">
        <v>18</v>
      </c>
      <c r="B134" t="s">
        <v>930</v>
      </c>
      <c r="C134" t="s">
        <v>17</v>
      </c>
      <c r="D134" t="s">
        <v>230</v>
      </c>
      <c r="E134" t="s">
        <v>62</v>
      </c>
      <c r="F134">
        <v>5938.666666666667</v>
      </c>
      <c r="G134" t="s">
        <v>231</v>
      </c>
      <c r="H134" t="s">
        <v>21</v>
      </c>
      <c r="I134">
        <v>15</v>
      </c>
      <c r="J134" t="s">
        <v>238</v>
      </c>
      <c r="K134">
        <v>2023</v>
      </c>
      <c r="L134" t="s">
        <v>233</v>
      </c>
      <c r="M134">
        <v>5938.666666666667</v>
      </c>
      <c r="N134" t="s">
        <v>234</v>
      </c>
      <c r="O134" t="s">
        <v>239</v>
      </c>
      <c r="P134" t="s">
        <v>26</v>
      </c>
    </row>
    <row r="135" spans="1:17">
      <c r="A135">
        <v>4</v>
      </c>
      <c r="B135" t="s">
        <v>932</v>
      </c>
      <c r="C135" t="s">
        <v>101</v>
      </c>
      <c r="D135" t="s">
        <v>240</v>
      </c>
      <c r="E135" t="s">
        <v>51</v>
      </c>
      <c r="F135">
        <v>120</v>
      </c>
      <c r="G135" t="s">
        <v>224</v>
      </c>
      <c r="H135" t="s">
        <v>104</v>
      </c>
      <c r="I135">
        <v>111</v>
      </c>
      <c r="J135" t="s">
        <v>241</v>
      </c>
      <c r="K135">
        <v>2025</v>
      </c>
      <c r="L135" t="s">
        <v>226</v>
      </c>
      <c r="M135">
        <v>120</v>
      </c>
      <c r="N135" t="s">
        <v>242</v>
      </c>
      <c r="O135" t="s">
        <v>101</v>
      </c>
      <c r="P135" t="s">
        <v>26</v>
      </c>
    </row>
    <row r="136" spans="1:17">
      <c r="A136">
        <v>4</v>
      </c>
      <c r="B136" t="s">
        <v>932</v>
      </c>
      <c r="C136" t="s">
        <v>101</v>
      </c>
      <c r="D136" t="s">
        <v>240</v>
      </c>
      <c r="E136" t="s">
        <v>57</v>
      </c>
      <c r="F136">
        <v>125</v>
      </c>
      <c r="G136" t="s">
        <v>224</v>
      </c>
      <c r="H136" t="s">
        <v>104</v>
      </c>
      <c r="I136">
        <v>111</v>
      </c>
      <c r="J136" t="s">
        <v>243</v>
      </c>
      <c r="K136">
        <v>2024</v>
      </c>
      <c r="L136" t="s">
        <v>226</v>
      </c>
      <c r="M136">
        <v>125</v>
      </c>
      <c r="N136" t="s">
        <v>242</v>
      </c>
      <c r="O136" t="s">
        <v>101</v>
      </c>
      <c r="P136" t="s">
        <v>26</v>
      </c>
    </row>
    <row r="137" spans="1:17">
      <c r="A137">
        <v>4</v>
      </c>
      <c r="B137" t="s">
        <v>932</v>
      </c>
      <c r="C137" t="s">
        <v>101</v>
      </c>
      <c r="D137" t="s">
        <v>240</v>
      </c>
      <c r="E137" t="s">
        <v>62</v>
      </c>
      <c r="F137">
        <v>130</v>
      </c>
      <c r="G137" t="s">
        <v>224</v>
      </c>
      <c r="H137" t="s">
        <v>104</v>
      </c>
      <c r="I137">
        <v>111</v>
      </c>
      <c r="J137" t="s">
        <v>244</v>
      </c>
      <c r="K137">
        <v>2023</v>
      </c>
      <c r="L137" t="s">
        <v>226</v>
      </c>
      <c r="M137">
        <v>130</v>
      </c>
      <c r="N137" t="s">
        <v>242</v>
      </c>
      <c r="O137" t="s">
        <v>101</v>
      </c>
      <c r="P137" t="s">
        <v>26</v>
      </c>
    </row>
    <row r="138" spans="1:17">
      <c r="A138">
        <v>3</v>
      </c>
      <c r="B138" t="s">
        <v>245</v>
      </c>
      <c r="C138" t="s">
        <v>101</v>
      </c>
      <c r="D138" t="s">
        <v>246</v>
      </c>
      <c r="E138" t="s">
        <v>247</v>
      </c>
      <c r="F138">
        <v>6586</v>
      </c>
      <c r="G138" t="s">
        <v>248</v>
      </c>
      <c r="H138" t="s">
        <v>249</v>
      </c>
      <c r="I138">
        <v>43</v>
      </c>
      <c r="J138" t="s">
        <v>250</v>
      </c>
      <c r="K138">
        <v>2025</v>
      </c>
      <c r="L138" t="s">
        <v>23</v>
      </c>
      <c r="M138">
        <v>47419200</v>
      </c>
      <c r="N138" t="s">
        <v>251</v>
      </c>
      <c r="O138" t="s">
        <v>101</v>
      </c>
      <c r="P138" t="s">
        <v>26</v>
      </c>
    </row>
    <row r="139" spans="1:17">
      <c r="A139">
        <v>3</v>
      </c>
      <c r="B139" t="s">
        <v>245</v>
      </c>
      <c r="C139" t="s">
        <v>101</v>
      </c>
      <c r="D139" t="s">
        <v>107</v>
      </c>
      <c r="E139" t="s">
        <v>247</v>
      </c>
      <c r="F139">
        <v>3028</v>
      </c>
      <c r="G139" t="s">
        <v>248</v>
      </c>
      <c r="H139" t="s">
        <v>249</v>
      </c>
      <c r="I139">
        <v>43</v>
      </c>
      <c r="J139" t="s">
        <v>252</v>
      </c>
      <c r="K139">
        <v>2025</v>
      </c>
      <c r="L139" t="s">
        <v>27</v>
      </c>
      <c r="M139">
        <v>21801600</v>
      </c>
      <c r="N139" t="s">
        <v>251</v>
      </c>
      <c r="O139" t="s">
        <v>101</v>
      </c>
      <c r="P139" t="s">
        <v>26</v>
      </c>
    </row>
    <row r="140" spans="1:17">
      <c r="A140">
        <v>3</v>
      </c>
      <c r="B140" t="s">
        <v>245</v>
      </c>
      <c r="C140" t="s">
        <v>101</v>
      </c>
      <c r="D140" t="s">
        <v>109</v>
      </c>
      <c r="E140" t="s">
        <v>247</v>
      </c>
      <c r="F140">
        <v>46</v>
      </c>
      <c r="G140" t="s">
        <v>30</v>
      </c>
      <c r="H140" t="s">
        <v>249</v>
      </c>
      <c r="I140">
        <v>43</v>
      </c>
      <c r="J140" t="s">
        <v>253</v>
      </c>
      <c r="K140">
        <v>2025</v>
      </c>
      <c r="L140" t="s">
        <v>29</v>
      </c>
      <c r="M140">
        <v>46</v>
      </c>
      <c r="N140" t="s">
        <v>137</v>
      </c>
      <c r="O140" t="s">
        <v>101</v>
      </c>
      <c r="P140" t="s">
        <v>26</v>
      </c>
      <c r="Q140" t="s">
        <v>624</v>
      </c>
    </row>
    <row r="141" spans="1:17">
      <c r="A141">
        <v>3</v>
      </c>
      <c r="B141" t="s">
        <v>245</v>
      </c>
      <c r="C141" t="s">
        <v>101</v>
      </c>
      <c r="D141" t="s">
        <v>254</v>
      </c>
      <c r="E141" t="s">
        <v>247</v>
      </c>
      <c r="F141">
        <v>1602</v>
      </c>
      <c r="G141" t="s">
        <v>248</v>
      </c>
      <c r="H141" t="s">
        <v>249</v>
      </c>
      <c r="I141">
        <v>43</v>
      </c>
      <c r="J141" t="s">
        <v>255</v>
      </c>
      <c r="K141">
        <v>2025</v>
      </c>
      <c r="L141" t="s">
        <v>35</v>
      </c>
      <c r="M141">
        <v>11534400</v>
      </c>
      <c r="N141" t="s">
        <v>251</v>
      </c>
      <c r="O141" t="s">
        <v>101</v>
      </c>
      <c r="P141" t="s">
        <v>26</v>
      </c>
    </row>
    <row r="142" spans="1:17">
      <c r="A142">
        <v>3</v>
      </c>
      <c r="B142" t="s">
        <v>245</v>
      </c>
      <c r="C142" t="s">
        <v>101</v>
      </c>
      <c r="D142" t="s">
        <v>256</v>
      </c>
      <c r="E142" t="s">
        <v>247</v>
      </c>
      <c r="F142">
        <v>24.3</v>
      </c>
      <c r="G142" t="s">
        <v>30</v>
      </c>
      <c r="H142" t="s">
        <v>249</v>
      </c>
      <c r="I142">
        <v>43</v>
      </c>
      <c r="J142" t="s">
        <v>257</v>
      </c>
      <c r="K142">
        <v>2025</v>
      </c>
      <c r="L142" t="s">
        <v>115</v>
      </c>
      <c r="M142">
        <v>24.3</v>
      </c>
      <c r="N142" t="s">
        <v>258</v>
      </c>
      <c r="O142" t="s">
        <v>101</v>
      </c>
      <c r="P142" t="s">
        <v>26</v>
      </c>
    </row>
    <row r="143" spans="1:17">
      <c r="A143">
        <v>3</v>
      </c>
      <c r="B143" t="s">
        <v>245</v>
      </c>
      <c r="C143" t="s">
        <v>101</v>
      </c>
      <c r="D143" t="s">
        <v>151</v>
      </c>
      <c r="E143" t="s">
        <v>247</v>
      </c>
      <c r="F143">
        <v>18.2</v>
      </c>
      <c r="G143" t="s">
        <v>30</v>
      </c>
      <c r="H143" t="s">
        <v>249</v>
      </c>
      <c r="I143">
        <v>43</v>
      </c>
      <c r="J143" t="s">
        <v>259</v>
      </c>
      <c r="K143">
        <v>2025</v>
      </c>
      <c r="L143" t="s">
        <v>36</v>
      </c>
      <c r="M143">
        <v>18.2</v>
      </c>
      <c r="N143" t="s">
        <v>260</v>
      </c>
      <c r="O143" t="s">
        <v>261</v>
      </c>
      <c r="P143" t="s">
        <v>26</v>
      </c>
    </row>
    <row r="144" spans="1:17">
      <c r="A144">
        <v>3</v>
      </c>
      <c r="B144" t="s">
        <v>245</v>
      </c>
      <c r="C144" t="s">
        <v>101</v>
      </c>
      <c r="D144" t="s">
        <v>262</v>
      </c>
      <c r="E144" t="s">
        <v>247</v>
      </c>
      <c r="F144">
        <v>73</v>
      </c>
      <c r="G144" t="s">
        <v>224</v>
      </c>
      <c r="H144" t="s">
        <v>249</v>
      </c>
      <c r="I144">
        <v>65</v>
      </c>
      <c r="J144" t="s">
        <v>263</v>
      </c>
      <c r="K144">
        <v>2025</v>
      </c>
      <c r="L144" t="s">
        <v>226</v>
      </c>
      <c r="M144">
        <v>73</v>
      </c>
      <c r="N144" t="s">
        <v>242</v>
      </c>
      <c r="O144" t="s">
        <v>264</v>
      </c>
      <c r="P144" t="s">
        <v>26</v>
      </c>
    </row>
    <row r="145" spans="1:17" ht="15">
      <c r="A145">
        <v>3</v>
      </c>
      <c r="B145" t="s">
        <v>245</v>
      </c>
      <c r="C145" t="s">
        <v>101</v>
      </c>
      <c r="D145" t="s">
        <v>265</v>
      </c>
      <c r="E145" t="s">
        <v>247</v>
      </c>
      <c r="F145">
        <v>35.700000000000003</v>
      </c>
      <c r="G145" t="s">
        <v>30</v>
      </c>
      <c r="H145" t="s">
        <v>249</v>
      </c>
      <c r="I145">
        <v>43</v>
      </c>
      <c r="J145" t="s">
        <v>266</v>
      </c>
      <c r="K145">
        <v>2025</v>
      </c>
      <c r="L145" s="13" t="s">
        <v>822</v>
      </c>
      <c r="M145">
        <v>35.700000000000003</v>
      </c>
      <c r="N145" t="s">
        <v>222</v>
      </c>
      <c r="O145" t="s">
        <v>101</v>
      </c>
      <c r="P145" t="s">
        <v>26</v>
      </c>
    </row>
    <row r="146" spans="1:17">
      <c r="A146">
        <v>3</v>
      </c>
      <c r="B146" t="s">
        <v>245</v>
      </c>
      <c r="C146" t="s">
        <v>101</v>
      </c>
      <c r="D146" t="s">
        <v>246</v>
      </c>
      <c r="E146" t="s">
        <v>267</v>
      </c>
      <c r="F146">
        <v>7545</v>
      </c>
      <c r="G146" t="s">
        <v>248</v>
      </c>
      <c r="H146" t="s">
        <v>249</v>
      </c>
      <c r="I146">
        <v>43</v>
      </c>
      <c r="J146" t="s">
        <v>268</v>
      </c>
      <c r="K146">
        <v>2024</v>
      </c>
      <c r="L146" t="s">
        <v>23</v>
      </c>
      <c r="M146">
        <v>54324000</v>
      </c>
      <c r="N146" t="s">
        <v>269</v>
      </c>
      <c r="O146" t="s">
        <v>101</v>
      </c>
      <c r="P146" t="s">
        <v>26</v>
      </c>
    </row>
    <row r="147" spans="1:17">
      <c r="A147">
        <v>3</v>
      </c>
      <c r="B147" t="s">
        <v>245</v>
      </c>
      <c r="C147" t="s">
        <v>101</v>
      </c>
      <c r="D147" t="s">
        <v>107</v>
      </c>
      <c r="E147" t="s">
        <v>267</v>
      </c>
      <c r="F147">
        <v>3784</v>
      </c>
      <c r="G147" t="s">
        <v>248</v>
      </c>
      <c r="H147" t="s">
        <v>249</v>
      </c>
      <c r="I147">
        <v>43</v>
      </c>
      <c r="J147" t="s">
        <v>270</v>
      </c>
      <c r="K147">
        <v>2024</v>
      </c>
      <c r="L147" t="s">
        <v>27</v>
      </c>
      <c r="M147">
        <v>27244800</v>
      </c>
      <c r="N147" t="s">
        <v>269</v>
      </c>
      <c r="O147" t="s">
        <v>101</v>
      </c>
      <c r="P147" t="s">
        <v>26</v>
      </c>
    </row>
    <row r="148" spans="1:17">
      <c r="A148">
        <v>3</v>
      </c>
      <c r="B148" t="s">
        <v>245</v>
      </c>
      <c r="C148" t="s">
        <v>101</v>
      </c>
      <c r="D148" t="s">
        <v>109</v>
      </c>
      <c r="E148" t="s">
        <v>267</v>
      </c>
      <c r="F148">
        <v>50.2</v>
      </c>
      <c r="G148" t="s">
        <v>30</v>
      </c>
      <c r="H148" t="s">
        <v>249</v>
      </c>
      <c r="I148">
        <v>43</v>
      </c>
      <c r="J148" t="s">
        <v>271</v>
      </c>
      <c r="K148">
        <v>2024</v>
      </c>
      <c r="L148" t="s">
        <v>29</v>
      </c>
      <c r="M148">
        <v>50.2</v>
      </c>
      <c r="N148" t="s">
        <v>137</v>
      </c>
      <c r="O148" t="s">
        <v>101</v>
      </c>
      <c r="P148" t="s">
        <v>26</v>
      </c>
      <c r="Q148" t="s">
        <v>624</v>
      </c>
    </row>
    <row r="149" spans="1:17">
      <c r="A149">
        <v>3</v>
      </c>
      <c r="B149" t="s">
        <v>245</v>
      </c>
      <c r="C149" t="s">
        <v>101</v>
      </c>
      <c r="D149" t="s">
        <v>254</v>
      </c>
      <c r="E149" t="s">
        <v>267</v>
      </c>
      <c r="F149">
        <v>2309</v>
      </c>
      <c r="G149" t="s">
        <v>248</v>
      </c>
      <c r="H149" t="s">
        <v>249</v>
      </c>
      <c r="I149">
        <v>43</v>
      </c>
      <c r="J149" t="s">
        <v>272</v>
      </c>
      <c r="K149">
        <v>2024</v>
      </c>
      <c r="L149" t="s">
        <v>35</v>
      </c>
      <c r="M149">
        <v>16624800</v>
      </c>
      <c r="N149" t="s">
        <v>269</v>
      </c>
      <c r="O149" t="s">
        <v>101</v>
      </c>
      <c r="P149" t="s">
        <v>26</v>
      </c>
    </row>
    <row r="150" spans="1:17">
      <c r="A150">
        <v>3</v>
      </c>
      <c r="B150" t="s">
        <v>245</v>
      </c>
      <c r="C150" t="s">
        <v>101</v>
      </c>
      <c r="D150" t="s">
        <v>256</v>
      </c>
      <c r="E150" t="s">
        <v>267</v>
      </c>
      <c r="F150">
        <v>30.6</v>
      </c>
      <c r="G150" t="s">
        <v>30</v>
      </c>
      <c r="H150" t="s">
        <v>249</v>
      </c>
      <c r="I150">
        <v>43</v>
      </c>
      <c r="J150" t="s">
        <v>273</v>
      </c>
      <c r="K150">
        <v>2024</v>
      </c>
      <c r="L150" t="s">
        <v>115</v>
      </c>
      <c r="M150">
        <v>30.6</v>
      </c>
      <c r="N150" t="s">
        <v>258</v>
      </c>
      <c r="O150" t="s">
        <v>101</v>
      </c>
      <c r="P150" t="s">
        <v>26</v>
      </c>
    </row>
    <row r="151" spans="1:17">
      <c r="A151">
        <v>3</v>
      </c>
      <c r="B151" t="s">
        <v>245</v>
      </c>
      <c r="C151" t="s">
        <v>101</v>
      </c>
      <c r="D151" t="s">
        <v>151</v>
      </c>
      <c r="E151" t="s">
        <v>267</v>
      </c>
      <c r="F151">
        <v>23</v>
      </c>
      <c r="G151" t="s">
        <v>30</v>
      </c>
      <c r="H151" t="s">
        <v>249</v>
      </c>
      <c r="I151">
        <v>43</v>
      </c>
      <c r="J151" t="s">
        <v>259</v>
      </c>
      <c r="K151">
        <v>2024</v>
      </c>
      <c r="L151" t="s">
        <v>36</v>
      </c>
      <c r="M151">
        <v>23</v>
      </c>
      <c r="N151" t="s">
        <v>260</v>
      </c>
      <c r="O151" t="s">
        <v>261</v>
      </c>
      <c r="P151" t="s">
        <v>26</v>
      </c>
    </row>
    <row r="152" spans="1:17">
      <c r="A152">
        <v>3</v>
      </c>
      <c r="B152" t="s">
        <v>245</v>
      </c>
      <c r="C152" t="s">
        <v>101</v>
      </c>
      <c r="D152" t="s">
        <v>262</v>
      </c>
      <c r="E152" t="s">
        <v>267</v>
      </c>
      <c r="F152">
        <v>73</v>
      </c>
      <c r="G152" t="s">
        <v>224</v>
      </c>
      <c r="H152" t="s">
        <v>249</v>
      </c>
      <c r="I152">
        <v>65</v>
      </c>
      <c r="J152" t="s">
        <v>263</v>
      </c>
      <c r="K152">
        <v>2024</v>
      </c>
      <c r="L152" t="s">
        <v>226</v>
      </c>
      <c r="M152">
        <v>73</v>
      </c>
      <c r="N152" t="s">
        <v>242</v>
      </c>
      <c r="O152" t="s">
        <v>264</v>
      </c>
      <c r="P152" t="s">
        <v>26</v>
      </c>
    </row>
    <row r="153" spans="1:17" ht="15">
      <c r="A153">
        <v>3</v>
      </c>
      <c r="B153" t="s">
        <v>245</v>
      </c>
      <c r="C153" t="s">
        <v>101</v>
      </c>
      <c r="D153" t="s">
        <v>265</v>
      </c>
      <c r="E153" t="s">
        <v>267</v>
      </c>
      <c r="F153">
        <v>34.5</v>
      </c>
      <c r="G153" t="s">
        <v>30</v>
      </c>
      <c r="H153" t="s">
        <v>249</v>
      </c>
      <c r="I153">
        <v>43</v>
      </c>
      <c r="J153" t="s">
        <v>274</v>
      </c>
      <c r="K153">
        <v>2024</v>
      </c>
      <c r="L153" s="13" t="s">
        <v>822</v>
      </c>
      <c r="M153">
        <v>34.5</v>
      </c>
      <c r="N153" t="s">
        <v>222</v>
      </c>
      <c r="O153" t="s">
        <v>101</v>
      </c>
      <c r="P153" t="s">
        <v>26</v>
      </c>
    </row>
    <row r="154" spans="1:17">
      <c r="A154">
        <v>3</v>
      </c>
      <c r="B154" t="s">
        <v>245</v>
      </c>
      <c r="C154" t="s">
        <v>101</v>
      </c>
      <c r="D154" t="s">
        <v>246</v>
      </c>
      <c r="E154" t="s">
        <v>275</v>
      </c>
      <c r="F154">
        <v>7248</v>
      </c>
      <c r="G154" t="s">
        <v>248</v>
      </c>
      <c r="H154" t="s">
        <v>249</v>
      </c>
      <c r="I154">
        <v>43</v>
      </c>
      <c r="J154" t="s">
        <v>276</v>
      </c>
      <c r="K154">
        <v>2023</v>
      </c>
      <c r="L154" t="s">
        <v>23</v>
      </c>
      <c r="M154">
        <v>52185600</v>
      </c>
      <c r="N154" t="s">
        <v>277</v>
      </c>
      <c r="O154" t="s">
        <v>101</v>
      </c>
      <c r="P154" t="s">
        <v>26</v>
      </c>
    </row>
    <row r="155" spans="1:17">
      <c r="A155">
        <v>3</v>
      </c>
      <c r="B155" t="s">
        <v>245</v>
      </c>
      <c r="C155" t="s">
        <v>101</v>
      </c>
      <c r="D155" t="s">
        <v>107</v>
      </c>
      <c r="E155" t="s">
        <v>275</v>
      </c>
      <c r="F155">
        <v>3696</v>
      </c>
      <c r="G155" t="s">
        <v>248</v>
      </c>
      <c r="H155" t="s">
        <v>249</v>
      </c>
      <c r="I155">
        <v>43</v>
      </c>
      <c r="J155" t="s">
        <v>278</v>
      </c>
      <c r="K155">
        <v>2023</v>
      </c>
      <c r="L155" t="s">
        <v>27</v>
      </c>
      <c r="M155">
        <v>26611200</v>
      </c>
      <c r="N155" t="s">
        <v>277</v>
      </c>
      <c r="O155" t="s">
        <v>101</v>
      </c>
      <c r="P155" t="s">
        <v>26</v>
      </c>
    </row>
    <row r="156" spans="1:17">
      <c r="A156">
        <v>3</v>
      </c>
      <c r="B156" t="s">
        <v>245</v>
      </c>
      <c r="C156" t="s">
        <v>101</v>
      </c>
      <c r="D156" t="s">
        <v>109</v>
      </c>
      <c r="E156" t="s">
        <v>275</v>
      </c>
      <c r="F156">
        <v>51</v>
      </c>
      <c r="G156" t="s">
        <v>30</v>
      </c>
      <c r="H156" t="s">
        <v>249</v>
      </c>
      <c r="I156">
        <v>43</v>
      </c>
      <c r="J156" t="s">
        <v>146</v>
      </c>
      <c r="K156">
        <v>2023</v>
      </c>
      <c r="L156" t="s">
        <v>29</v>
      </c>
      <c r="M156">
        <v>51</v>
      </c>
      <c r="N156" t="s">
        <v>137</v>
      </c>
      <c r="O156" t="s">
        <v>101</v>
      </c>
      <c r="P156" t="s">
        <v>26</v>
      </c>
    </row>
    <row r="157" spans="1:17">
      <c r="A157">
        <v>3</v>
      </c>
      <c r="B157" t="s">
        <v>245</v>
      </c>
      <c r="C157" t="s">
        <v>101</v>
      </c>
      <c r="D157" t="s">
        <v>254</v>
      </c>
      <c r="E157" t="s">
        <v>275</v>
      </c>
      <c r="F157">
        <v>2283</v>
      </c>
      <c r="G157" t="s">
        <v>248</v>
      </c>
      <c r="H157" t="s">
        <v>249</v>
      </c>
      <c r="I157">
        <v>43</v>
      </c>
      <c r="J157" t="s">
        <v>279</v>
      </c>
      <c r="K157">
        <v>2023</v>
      </c>
      <c r="L157" t="s">
        <v>35</v>
      </c>
      <c r="M157">
        <v>16437600</v>
      </c>
      <c r="N157" t="s">
        <v>277</v>
      </c>
      <c r="O157" t="s">
        <v>101</v>
      </c>
      <c r="P157" t="s">
        <v>26</v>
      </c>
    </row>
    <row r="158" spans="1:17">
      <c r="A158">
        <v>3</v>
      </c>
      <c r="B158" t="s">
        <v>245</v>
      </c>
      <c r="C158" t="s">
        <v>101</v>
      </c>
      <c r="D158" t="s">
        <v>256</v>
      </c>
      <c r="E158" t="s">
        <v>275</v>
      </c>
      <c r="F158">
        <v>31.5</v>
      </c>
      <c r="G158" t="s">
        <v>30</v>
      </c>
      <c r="H158" t="s">
        <v>249</v>
      </c>
      <c r="I158">
        <v>43</v>
      </c>
      <c r="J158" t="s">
        <v>280</v>
      </c>
      <c r="K158">
        <v>2023</v>
      </c>
      <c r="L158" t="s">
        <v>115</v>
      </c>
      <c r="M158">
        <v>31.5</v>
      </c>
      <c r="N158" t="s">
        <v>258</v>
      </c>
      <c r="O158" t="s">
        <v>101</v>
      </c>
      <c r="P158" t="s">
        <v>26</v>
      </c>
    </row>
    <row r="159" spans="1:17">
      <c r="A159">
        <v>3</v>
      </c>
      <c r="B159" t="s">
        <v>245</v>
      </c>
      <c r="C159" t="s">
        <v>101</v>
      </c>
      <c r="D159" t="s">
        <v>151</v>
      </c>
      <c r="E159" t="s">
        <v>275</v>
      </c>
      <c r="F159">
        <v>23.6</v>
      </c>
      <c r="G159" t="s">
        <v>30</v>
      </c>
      <c r="H159" t="s">
        <v>249</v>
      </c>
      <c r="I159">
        <v>43</v>
      </c>
      <c r="J159" t="s">
        <v>259</v>
      </c>
      <c r="K159">
        <v>2023</v>
      </c>
      <c r="L159" t="s">
        <v>36</v>
      </c>
      <c r="M159">
        <v>23.6</v>
      </c>
      <c r="N159" t="s">
        <v>260</v>
      </c>
      <c r="O159" t="s">
        <v>261</v>
      </c>
      <c r="P159" t="s">
        <v>26</v>
      </c>
    </row>
    <row r="160" spans="1:17">
      <c r="A160">
        <v>3</v>
      </c>
      <c r="B160" t="s">
        <v>245</v>
      </c>
      <c r="C160" t="s">
        <v>101</v>
      </c>
      <c r="D160" t="s">
        <v>262</v>
      </c>
      <c r="E160" t="s">
        <v>275</v>
      </c>
      <c r="F160">
        <v>75</v>
      </c>
      <c r="G160" t="s">
        <v>224</v>
      </c>
      <c r="H160" t="s">
        <v>249</v>
      </c>
      <c r="I160">
        <v>65</v>
      </c>
      <c r="J160" t="s">
        <v>263</v>
      </c>
      <c r="K160">
        <v>2023</v>
      </c>
      <c r="L160" t="s">
        <v>226</v>
      </c>
      <c r="M160">
        <v>75</v>
      </c>
      <c r="N160" t="s">
        <v>242</v>
      </c>
      <c r="O160" t="s">
        <v>264</v>
      </c>
      <c r="P160" t="s">
        <v>26</v>
      </c>
    </row>
    <row r="161" spans="1:17" ht="15">
      <c r="A161">
        <v>3</v>
      </c>
      <c r="B161" t="s">
        <v>245</v>
      </c>
      <c r="C161" t="s">
        <v>101</v>
      </c>
      <c r="D161" t="s">
        <v>265</v>
      </c>
      <c r="E161" t="s">
        <v>275</v>
      </c>
      <c r="F161">
        <v>33.799999999999997</v>
      </c>
      <c r="G161" t="s">
        <v>30</v>
      </c>
      <c r="H161" t="s">
        <v>249</v>
      </c>
      <c r="I161">
        <v>43</v>
      </c>
      <c r="J161" t="s">
        <v>281</v>
      </c>
      <c r="K161">
        <v>2023</v>
      </c>
      <c r="L161" s="13" t="s">
        <v>822</v>
      </c>
      <c r="M161">
        <v>33.799999999999997</v>
      </c>
      <c r="N161" t="s">
        <v>222</v>
      </c>
      <c r="O161" t="s">
        <v>101</v>
      </c>
      <c r="P161" t="s">
        <v>26</v>
      </c>
    </row>
    <row r="162" spans="1:17" ht="15">
      <c r="A162">
        <v>5</v>
      </c>
      <c r="B162" t="s">
        <v>589</v>
      </c>
      <c r="C162" t="s">
        <v>17</v>
      </c>
      <c r="D162" t="s">
        <v>877</v>
      </c>
      <c r="E162" t="s">
        <v>876</v>
      </c>
      <c r="F162">
        <v>242680</v>
      </c>
      <c r="G162" s="9" t="s">
        <v>560</v>
      </c>
      <c r="H162" s="9" t="s">
        <v>878</v>
      </c>
      <c r="I162">
        <v>10</v>
      </c>
      <c r="J162" t="s">
        <v>287</v>
      </c>
      <c r="K162">
        <v>2023</v>
      </c>
      <c r="L162" s="13" t="s">
        <v>821</v>
      </c>
      <c r="M162">
        <f>F162*0.048*1000</f>
        <v>11648640</v>
      </c>
      <c r="N162" t="s">
        <v>285</v>
      </c>
      <c r="O162" t="s">
        <v>134</v>
      </c>
      <c r="P162" t="s">
        <v>26</v>
      </c>
      <c r="Q162" s="9" t="s">
        <v>624</v>
      </c>
    </row>
    <row r="163" spans="1:17" ht="15">
      <c r="A163">
        <v>5</v>
      </c>
      <c r="B163" t="s">
        <v>589</v>
      </c>
      <c r="C163" t="s">
        <v>17</v>
      </c>
      <c r="D163" t="s">
        <v>282</v>
      </c>
      <c r="E163" t="s">
        <v>62</v>
      </c>
      <c r="F163">
        <v>36.200000000000003</v>
      </c>
      <c r="G163" t="s">
        <v>30</v>
      </c>
      <c r="H163" s="9" t="s">
        <v>878</v>
      </c>
      <c r="I163">
        <v>10</v>
      </c>
      <c r="J163" t="s">
        <v>288</v>
      </c>
      <c r="K163">
        <v>2023</v>
      </c>
      <c r="L163" s="13" t="s">
        <v>822</v>
      </c>
      <c r="M163">
        <v>36.200000000000003</v>
      </c>
      <c r="N163" t="s">
        <v>285</v>
      </c>
      <c r="O163" t="s">
        <v>134</v>
      </c>
      <c r="P163" t="s">
        <v>26</v>
      </c>
      <c r="Q163" s="9" t="s">
        <v>624</v>
      </c>
    </row>
    <row r="164" spans="1:17" ht="15">
      <c r="A164">
        <v>15</v>
      </c>
      <c r="B164" t="s">
        <v>164</v>
      </c>
      <c r="C164" t="s">
        <v>17</v>
      </c>
      <c r="D164" t="s">
        <v>282</v>
      </c>
      <c r="E164" t="s">
        <v>51</v>
      </c>
      <c r="F164">
        <v>42</v>
      </c>
      <c r="G164" t="s">
        <v>30</v>
      </c>
      <c r="H164" t="s">
        <v>289</v>
      </c>
      <c r="I164" t="s">
        <v>284</v>
      </c>
      <c r="J164" t="s">
        <v>290</v>
      </c>
      <c r="K164">
        <v>2025</v>
      </c>
      <c r="L164" s="13" t="s">
        <v>822</v>
      </c>
      <c r="M164">
        <v>42</v>
      </c>
      <c r="N164" t="s">
        <v>285</v>
      </c>
      <c r="O164" t="s">
        <v>134</v>
      </c>
      <c r="P164" t="s">
        <v>26</v>
      </c>
    </row>
    <row r="165" spans="1:17" ht="15">
      <c r="A165">
        <v>15</v>
      </c>
      <c r="B165" t="s">
        <v>164</v>
      </c>
      <c r="C165" t="s">
        <v>17</v>
      </c>
      <c r="D165" t="s">
        <v>282</v>
      </c>
      <c r="E165" t="s">
        <v>57</v>
      </c>
      <c r="F165">
        <v>41.5</v>
      </c>
      <c r="G165" t="s">
        <v>30</v>
      </c>
      <c r="H165" t="s">
        <v>289</v>
      </c>
      <c r="I165" t="s">
        <v>284</v>
      </c>
      <c r="J165" t="s">
        <v>291</v>
      </c>
      <c r="K165">
        <v>2024</v>
      </c>
      <c r="L165" s="13" t="s">
        <v>822</v>
      </c>
      <c r="M165">
        <v>41.5</v>
      </c>
      <c r="N165" t="s">
        <v>285</v>
      </c>
      <c r="O165" t="s">
        <v>134</v>
      </c>
      <c r="P165" t="s">
        <v>26</v>
      </c>
    </row>
    <row r="166" spans="1:17" ht="15">
      <c r="A166">
        <v>15</v>
      </c>
      <c r="B166" t="s">
        <v>164</v>
      </c>
      <c r="C166" t="s">
        <v>17</v>
      </c>
      <c r="D166" t="s">
        <v>282</v>
      </c>
      <c r="E166" t="s">
        <v>62</v>
      </c>
      <c r="F166">
        <v>40.799999999999997</v>
      </c>
      <c r="G166" t="s">
        <v>30</v>
      </c>
      <c r="H166" t="s">
        <v>289</v>
      </c>
      <c r="I166" t="s">
        <v>284</v>
      </c>
      <c r="J166" t="s">
        <v>292</v>
      </c>
      <c r="K166">
        <v>2023</v>
      </c>
      <c r="L166" s="13" t="s">
        <v>822</v>
      </c>
      <c r="M166">
        <v>40.799999999999997</v>
      </c>
      <c r="N166" t="s">
        <v>285</v>
      </c>
      <c r="O166" t="s">
        <v>134</v>
      </c>
      <c r="P166" t="s">
        <v>26</v>
      </c>
    </row>
    <row r="167" spans="1:17" ht="15">
      <c r="A167">
        <v>11</v>
      </c>
      <c r="B167" t="s">
        <v>147</v>
      </c>
      <c r="C167" t="s">
        <v>17</v>
      </c>
      <c r="D167" t="s">
        <v>282</v>
      </c>
      <c r="E167" t="s">
        <v>51</v>
      </c>
      <c r="F167">
        <f>F406/F403*100</f>
        <v>18.017231497287572</v>
      </c>
      <c r="G167" t="s">
        <v>30</v>
      </c>
      <c r="H167" t="s">
        <v>295</v>
      </c>
      <c r="I167" t="s">
        <v>284</v>
      </c>
      <c r="J167" t="s">
        <v>296</v>
      </c>
      <c r="K167">
        <v>2025</v>
      </c>
      <c r="L167" s="13" t="s">
        <v>822</v>
      </c>
      <c r="M167" s="2">
        <f>F167</f>
        <v>18.017231497287572</v>
      </c>
      <c r="N167" t="s">
        <v>285</v>
      </c>
      <c r="O167" t="s">
        <v>134</v>
      </c>
      <c r="P167" t="s">
        <v>26</v>
      </c>
      <c r="Q167" t="s">
        <v>624</v>
      </c>
    </row>
    <row r="168" spans="1:17" ht="15">
      <c r="A168">
        <v>11</v>
      </c>
      <c r="B168" t="s">
        <v>147</v>
      </c>
      <c r="C168" t="s">
        <v>17</v>
      </c>
      <c r="D168" t="s">
        <v>282</v>
      </c>
      <c r="E168" t="s">
        <v>57</v>
      </c>
      <c r="F168">
        <f>F413/F410*100</f>
        <v>16.380126470192273</v>
      </c>
      <c r="G168" t="s">
        <v>30</v>
      </c>
      <c r="H168" t="s">
        <v>295</v>
      </c>
      <c r="I168" t="s">
        <v>284</v>
      </c>
      <c r="J168" t="s">
        <v>297</v>
      </c>
      <c r="K168">
        <v>2024</v>
      </c>
      <c r="L168" s="13" t="s">
        <v>822</v>
      </c>
      <c r="M168" s="2">
        <f>F168</f>
        <v>16.380126470192273</v>
      </c>
      <c r="N168" t="s">
        <v>285</v>
      </c>
      <c r="O168" t="s">
        <v>134</v>
      </c>
      <c r="P168" t="s">
        <v>26</v>
      </c>
      <c r="Q168" t="s">
        <v>624</v>
      </c>
    </row>
    <row r="169" spans="1:17" ht="15">
      <c r="A169">
        <v>11</v>
      </c>
      <c r="B169" t="s">
        <v>147</v>
      </c>
      <c r="C169" t="s">
        <v>17</v>
      </c>
      <c r="D169" t="s">
        <v>282</v>
      </c>
      <c r="E169" t="s">
        <v>62</v>
      </c>
      <c r="F169">
        <f>F420/F417*100</f>
        <v>15.936852344659986</v>
      </c>
      <c r="G169" t="s">
        <v>30</v>
      </c>
      <c r="H169" t="s">
        <v>295</v>
      </c>
      <c r="I169" t="s">
        <v>284</v>
      </c>
      <c r="J169" t="s">
        <v>298</v>
      </c>
      <c r="K169">
        <v>2023</v>
      </c>
      <c r="L169" s="13" t="s">
        <v>822</v>
      </c>
      <c r="M169" s="2">
        <f>F169</f>
        <v>15.936852344659986</v>
      </c>
      <c r="N169" t="s">
        <v>285</v>
      </c>
      <c r="O169" t="s">
        <v>134</v>
      </c>
      <c r="P169" t="s">
        <v>26</v>
      </c>
      <c r="Q169" t="s">
        <v>624</v>
      </c>
    </row>
    <row r="170" spans="1:17" ht="15">
      <c r="A170">
        <v>20</v>
      </c>
      <c r="B170" t="s">
        <v>916</v>
      </c>
      <c r="C170" t="s">
        <v>586</v>
      </c>
      <c r="D170" t="s">
        <v>282</v>
      </c>
      <c r="E170" t="s">
        <v>51</v>
      </c>
      <c r="F170">
        <v>30</v>
      </c>
      <c r="G170" t="s">
        <v>30</v>
      </c>
      <c r="H170" t="s">
        <v>299</v>
      </c>
      <c r="I170" t="s">
        <v>284</v>
      </c>
      <c r="J170" t="s">
        <v>300</v>
      </c>
      <c r="K170">
        <v>2025</v>
      </c>
      <c r="L170" s="13" t="s">
        <v>822</v>
      </c>
      <c r="M170">
        <v>30</v>
      </c>
      <c r="N170" t="s">
        <v>285</v>
      </c>
      <c r="O170" t="s">
        <v>134</v>
      </c>
      <c r="P170" t="s">
        <v>26</v>
      </c>
    </row>
    <row r="171" spans="1:17" ht="15">
      <c r="A171">
        <v>20</v>
      </c>
      <c r="B171" t="s">
        <v>916</v>
      </c>
      <c r="C171" t="s">
        <v>586</v>
      </c>
      <c r="D171" t="s">
        <v>282</v>
      </c>
      <c r="E171" t="s">
        <v>57</v>
      </c>
      <c r="F171">
        <v>29.5</v>
      </c>
      <c r="G171" t="s">
        <v>30</v>
      </c>
      <c r="H171" t="s">
        <v>299</v>
      </c>
      <c r="I171" t="s">
        <v>284</v>
      </c>
      <c r="J171" t="s">
        <v>301</v>
      </c>
      <c r="K171">
        <v>2024</v>
      </c>
      <c r="L171" s="13" t="s">
        <v>822</v>
      </c>
      <c r="M171">
        <v>29.5</v>
      </c>
      <c r="N171" t="s">
        <v>285</v>
      </c>
      <c r="O171" t="s">
        <v>134</v>
      </c>
      <c r="P171" t="s">
        <v>26</v>
      </c>
    </row>
    <row r="172" spans="1:17" ht="15">
      <c r="A172">
        <v>20</v>
      </c>
      <c r="B172" t="s">
        <v>916</v>
      </c>
      <c r="C172" t="s">
        <v>586</v>
      </c>
      <c r="D172" t="s">
        <v>282</v>
      </c>
      <c r="E172" t="s">
        <v>62</v>
      </c>
      <c r="F172">
        <v>29</v>
      </c>
      <c r="G172" t="s">
        <v>30</v>
      </c>
      <c r="H172" t="s">
        <v>299</v>
      </c>
      <c r="I172" t="s">
        <v>284</v>
      </c>
      <c r="J172" t="s">
        <v>302</v>
      </c>
      <c r="K172">
        <v>2023</v>
      </c>
      <c r="L172" s="13" t="s">
        <v>822</v>
      </c>
      <c r="M172">
        <v>29</v>
      </c>
      <c r="N172" t="s">
        <v>285</v>
      </c>
      <c r="O172" t="s">
        <v>134</v>
      </c>
      <c r="P172" t="s">
        <v>26</v>
      </c>
    </row>
    <row r="173" spans="1:17" ht="15">
      <c r="A173">
        <v>17</v>
      </c>
      <c r="B173" t="s">
        <v>935</v>
      </c>
      <c r="C173" t="s">
        <v>586</v>
      </c>
      <c r="D173" t="s">
        <v>282</v>
      </c>
      <c r="E173" t="s">
        <v>51</v>
      </c>
      <c r="F173">
        <v>38</v>
      </c>
      <c r="G173" t="s">
        <v>30</v>
      </c>
      <c r="H173" t="s">
        <v>303</v>
      </c>
      <c r="I173" t="s">
        <v>284</v>
      </c>
      <c r="J173" t="s">
        <v>304</v>
      </c>
      <c r="K173">
        <v>2025</v>
      </c>
      <c r="L173" s="13" t="s">
        <v>822</v>
      </c>
      <c r="M173">
        <v>38</v>
      </c>
      <c r="N173" t="s">
        <v>285</v>
      </c>
      <c r="O173" t="s">
        <v>134</v>
      </c>
      <c r="P173" t="s">
        <v>26</v>
      </c>
    </row>
    <row r="174" spans="1:17" ht="15">
      <c r="A174">
        <v>17</v>
      </c>
      <c r="B174" t="s">
        <v>935</v>
      </c>
      <c r="C174" t="s">
        <v>586</v>
      </c>
      <c r="D174" t="s">
        <v>282</v>
      </c>
      <c r="E174" t="s">
        <v>57</v>
      </c>
      <c r="F174">
        <v>37.5</v>
      </c>
      <c r="G174" t="s">
        <v>30</v>
      </c>
      <c r="H174" t="s">
        <v>303</v>
      </c>
      <c r="I174" t="s">
        <v>284</v>
      </c>
      <c r="J174" t="s">
        <v>305</v>
      </c>
      <c r="K174">
        <v>2024</v>
      </c>
      <c r="L174" s="13" t="s">
        <v>822</v>
      </c>
      <c r="M174">
        <v>37.5</v>
      </c>
      <c r="N174" t="s">
        <v>285</v>
      </c>
      <c r="O174" t="s">
        <v>134</v>
      </c>
      <c r="P174" t="s">
        <v>26</v>
      </c>
    </row>
    <row r="175" spans="1:17" ht="15">
      <c r="A175">
        <v>17</v>
      </c>
      <c r="B175" t="s">
        <v>935</v>
      </c>
      <c r="C175" t="s">
        <v>586</v>
      </c>
      <c r="D175" t="s">
        <v>282</v>
      </c>
      <c r="E175" t="s">
        <v>62</v>
      </c>
      <c r="F175">
        <v>37</v>
      </c>
      <c r="G175" t="s">
        <v>30</v>
      </c>
      <c r="H175" t="s">
        <v>303</v>
      </c>
      <c r="I175" t="s">
        <v>284</v>
      </c>
      <c r="J175" t="s">
        <v>306</v>
      </c>
      <c r="K175">
        <v>2023</v>
      </c>
      <c r="L175" s="13" t="s">
        <v>822</v>
      </c>
      <c r="M175">
        <v>37</v>
      </c>
      <c r="N175" t="s">
        <v>285</v>
      </c>
      <c r="O175" t="s">
        <v>134</v>
      </c>
      <c r="P175" t="s">
        <v>26</v>
      </c>
    </row>
    <row r="176" spans="1:17" ht="15">
      <c r="A176">
        <v>22</v>
      </c>
      <c r="B176" t="s">
        <v>918</v>
      </c>
      <c r="C176" t="s">
        <v>586</v>
      </c>
      <c r="D176" t="s">
        <v>282</v>
      </c>
      <c r="E176" t="s">
        <v>51</v>
      </c>
      <c r="F176">
        <v>35</v>
      </c>
      <c r="G176" t="s">
        <v>30</v>
      </c>
      <c r="H176" t="s">
        <v>307</v>
      </c>
      <c r="I176" t="s">
        <v>284</v>
      </c>
      <c r="J176" t="s">
        <v>308</v>
      </c>
      <c r="K176">
        <v>2025</v>
      </c>
      <c r="L176" s="13" t="s">
        <v>822</v>
      </c>
      <c r="M176">
        <v>35</v>
      </c>
      <c r="N176" t="s">
        <v>285</v>
      </c>
      <c r="O176" t="s">
        <v>134</v>
      </c>
      <c r="P176" t="s">
        <v>26</v>
      </c>
    </row>
    <row r="177" spans="1:16" ht="15">
      <c r="A177">
        <v>22</v>
      </c>
      <c r="B177" t="s">
        <v>918</v>
      </c>
      <c r="C177" t="s">
        <v>586</v>
      </c>
      <c r="D177" t="s">
        <v>282</v>
      </c>
      <c r="E177" t="s">
        <v>57</v>
      </c>
      <c r="F177">
        <v>34.5</v>
      </c>
      <c r="G177" t="s">
        <v>30</v>
      </c>
      <c r="H177" t="s">
        <v>307</v>
      </c>
      <c r="I177" t="s">
        <v>284</v>
      </c>
      <c r="J177" t="s">
        <v>309</v>
      </c>
      <c r="K177">
        <v>2024</v>
      </c>
      <c r="L177" s="13" t="s">
        <v>822</v>
      </c>
      <c r="M177">
        <v>34.5</v>
      </c>
      <c r="N177" t="s">
        <v>285</v>
      </c>
      <c r="O177" t="s">
        <v>134</v>
      </c>
      <c r="P177" t="s">
        <v>26</v>
      </c>
    </row>
    <row r="178" spans="1:16" ht="15">
      <c r="A178">
        <v>22</v>
      </c>
      <c r="B178" t="s">
        <v>918</v>
      </c>
      <c r="C178" t="s">
        <v>586</v>
      </c>
      <c r="D178" t="s">
        <v>282</v>
      </c>
      <c r="E178" t="s">
        <v>62</v>
      </c>
      <c r="F178">
        <v>34</v>
      </c>
      <c r="G178" t="s">
        <v>30</v>
      </c>
      <c r="H178" t="s">
        <v>307</v>
      </c>
      <c r="I178" t="s">
        <v>284</v>
      </c>
      <c r="J178" t="s">
        <v>310</v>
      </c>
      <c r="K178">
        <v>2023</v>
      </c>
      <c r="L178" s="13" t="s">
        <v>822</v>
      </c>
      <c r="M178">
        <v>34</v>
      </c>
      <c r="N178" t="s">
        <v>285</v>
      </c>
      <c r="O178" t="s">
        <v>134</v>
      </c>
      <c r="P178" t="s">
        <v>26</v>
      </c>
    </row>
    <row r="179" spans="1:16" ht="15">
      <c r="A179">
        <v>23</v>
      </c>
      <c r="B179" t="s">
        <v>917</v>
      </c>
      <c r="C179" t="s">
        <v>586</v>
      </c>
      <c r="D179" t="s">
        <v>282</v>
      </c>
      <c r="E179" t="s">
        <v>51</v>
      </c>
      <c r="F179">
        <v>25</v>
      </c>
      <c r="G179" t="s">
        <v>30</v>
      </c>
      <c r="H179" t="s">
        <v>311</v>
      </c>
      <c r="I179" t="s">
        <v>284</v>
      </c>
      <c r="J179" t="s">
        <v>312</v>
      </c>
      <c r="K179">
        <v>2025</v>
      </c>
      <c r="L179" s="13" t="s">
        <v>822</v>
      </c>
      <c r="M179">
        <v>25</v>
      </c>
      <c r="N179" t="s">
        <v>285</v>
      </c>
      <c r="O179" t="s">
        <v>134</v>
      </c>
      <c r="P179" t="s">
        <v>26</v>
      </c>
    </row>
    <row r="180" spans="1:16" ht="15">
      <c r="A180">
        <v>23</v>
      </c>
      <c r="B180" t="s">
        <v>917</v>
      </c>
      <c r="C180" t="s">
        <v>586</v>
      </c>
      <c r="D180" t="s">
        <v>282</v>
      </c>
      <c r="E180" t="s">
        <v>57</v>
      </c>
      <c r="F180">
        <v>24.5</v>
      </c>
      <c r="G180" t="s">
        <v>30</v>
      </c>
      <c r="H180" t="s">
        <v>311</v>
      </c>
      <c r="I180" t="s">
        <v>284</v>
      </c>
      <c r="J180" t="s">
        <v>313</v>
      </c>
      <c r="K180">
        <v>2024</v>
      </c>
      <c r="L180" s="13" t="s">
        <v>822</v>
      </c>
      <c r="M180">
        <v>24.5</v>
      </c>
      <c r="N180" t="s">
        <v>285</v>
      </c>
      <c r="O180" t="s">
        <v>134</v>
      </c>
      <c r="P180" t="s">
        <v>26</v>
      </c>
    </row>
    <row r="181" spans="1:16" ht="15">
      <c r="A181">
        <v>23</v>
      </c>
      <c r="B181" t="s">
        <v>917</v>
      </c>
      <c r="C181" t="s">
        <v>586</v>
      </c>
      <c r="D181" t="s">
        <v>282</v>
      </c>
      <c r="E181" t="s">
        <v>62</v>
      </c>
      <c r="F181">
        <v>24</v>
      </c>
      <c r="G181" t="s">
        <v>30</v>
      </c>
      <c r="H181" t="s">
        <v>311</v>
      </c>
      <c r="I181" t="s">
        <v>284</v>
      </c>
      <c r="J181" t="s">
        <v>314</v>
      </c>
      <c r="K181">
        <v>2023</v>
      </c>
      <c r="L181" s="13" t="s">
        <v>822</v>
      </c>
      <c r="M181">
        <v>24</v>
      </c>
      <c r="N181" t="s">
        <v>285</v>
      </c>
      <c r="O181" t="s">
        <v>134</v>
      </c>
      <c r="P181" t="s">
        <v>26</v>
      </c>
    </row>
    <row r="182" spans="1:16">
      <c r="A182">
        <v>4</v>
      </c>
      <c r="B182" t="s">
        <v>932</v>
      </c>
      <c r="C182" t="s">
        <v>17</v>
      </c>
      <c r="D182" t="s">
        <v>262</v>
      </c>
      <c r="E182" t="s">
        <v>51</v>
      </c>
      <c r="F182">
        <v>120</v>
      </c>
      <c r="G182" t="s">
        <v>224</v>
      </c>
      <c r="H182" t="s">
        <v>104</v>
      </c>
      <c r="I182" t="s">
        <v>284</v>
      </c>
      <c r="J182" t="s">
        <v>315</v>
      </c>
      <c r="K182">
        <v>2025</v>
      </c>
      <c r="L182" t="s">
        <v>226</v>
      </c>
      <c r="M182">
        <v>120</v>
      </c>
      <c r="N182" t="s">
        <v>227</v>
      </c>
      <c r="O182" t="s">
        <v>134</v>
      </c>
      <c r="P182" t="s">
        <v>26</v>
      </c>
    </row>
    <row r="183" spans="1:16">
      <c r="A183">
        <v>4</v>
      </c>
      <c r="B183" t="s">
        <v>932</v>
      </c>
      <c r="C183" t="s">
        <v>17</v>
      </c>
      <c r="D183" t="s">
        <v>262</v>
      </c>
      <c r="E183" t="s">
        <v>57</v>
      </c>
      <c r="F183">
        <v>125</v>
      </c>
      <c r="G183" t="s">
        <v>224</v>
      </c>
      <c r="H183" t="s">
        <v>104</v>
      </c>
      <c r="I183" t="s">
        <v>284</v>
      </c>
      <c r="J183" t="s">
        <v>316</v>
      </c>
      <c r="K183">
        <v>2024</v>
      </c>
      <c r="L183" t="s">
        <v>226</v>
      </c>
      <c r="M183">
        <v>125</v>
      </c>
      <c r="N183" t="s">
        <v>227</v>
      </c>
      <c r="O183" t="s">
        <v>134</v>
      </c>
      <c r="P183" t="s">
        <v>26</v>
      </c>
    </row>
    <row r="184" spans="1:16">
      <c r="A184">
        <v>4</v>
      </c>
      <c r="B184" t="s">
        <v>932</v>
      </c>
      <c r="C184" t="s">
        <v>17</v>
      </c>
      <c r="D184" t="s">
        <v>262</v>
      </c>
      <c r="E184" t="s">
        <v>62</v>
      </c>
      <c r="F184">
        <v>130</v>
      </c>
      <c r="G184" t="s">
        <v>224</v>
      </c>
      <c r="H184" t="s">
        <v>104</v>
      </c>
      <c r="I184" t="s">
        <v>284</v>
      </c>
      <c r="J184" t="s">
        <v>317</v>
      </c>
      <c r="K184">
        <v>2023</v>
      </c>
      <c r="L184" t="s">
        <v>226</v>
      </c>
      <c r="M184">
        <v>130</v>
      </c>
      <c r="N184" t="s">
        <v>227</v>
      </c>
      <c r="O184" t="s">
        <v>134</v>
      </c>
      <c r="P184" t="s">
        <v>26</v>
      </c>
    </row>
    <row r="185" spans="1:16">
      <c r="A185">
        <v>1</v>
      </c>
      <c r="B185" t="s">
        <v>910</v>
      </c>
      <c r="C185" t="s">
        <v>17</v>
      </c>
      <c r="D185" t="s">
        <v>262</v>
      </c>
      <c r="E185" t="s">
        <v>51</v>
      </c>
      <c r="F185">
        <v>85</v>
      </c>
      <c r="G185" t="s">
        <v>224</v>
      </c>
      <c r="H185" t="s">
        <v>318</v>
      </c>
      <c r="I185" t="s">
        <v>284</v>
      </c>
      <c r="J185" t="s">
        <v>319</v>
      </c>
      <c r="K185">
        <v>2025</v>
      </c>
      <c r="L185" t="s">
        <v>226</v>
      </c>
      <c r="M185">
        <v>85</v>
      </c>
      <c r="N185" t="s">
        <v>227</v>
      </c>
      <c r="O185" t="s">
        <v>134</v>
      </c>
      <c r="P185" t="s">
        <v>26</v>
      </c>
    </row>
    <row r="186" spans="1:16">
      <c r="A186">
        <v>1</v>
      </c>
      <c r="B186" t="s">
        <v>910</v>
      </c>
      <c r="C186" t="s">
        <v>17</v>
      </c>
      <c r="D186" t="s">
        <v>262</v>
      </c>
      <c r="E186" t="s">
        <v>57</v>
      </c>
      <c r="F186">
        <v>88</v>
      </c>
      <c r="G186" t="s">
        <v>224</v>
      </c>
      <c r="H186" t="s">
        <v>318</v>
      </c>
      <c r="I186" t="s">
        <v>284</v>
      </c>
      <c r="J186" t="s">
        <v>320</v>
      </c>
      <c r="K186">
        <v>2024</v>
      </c>
      <c r="L186" t="s">
        <v>226</v>
      </c>
      <c r="M186">
        <v>88</v>
      </c>
      <c r="N186" t="s">
        <v>227</v>
      </c>
      <c r="O186" t="s">
        <v>134</v>
      </c>
      <c r="P186" t="s">
        <v>26</v>
      </c>
    </row>
    <row r="187" spans="1:16">
      <c r="A187">
        <v>1</v>
      </c>
      <c r="B187" t="s">
        <v>910</v>
      </c>
      <c r="C187" t="s">
        <v>17</v>
      </c>
      <c r="D187" t="s">
        <v>262</v>
      </c>
      <c r="E187" t="s">
        <v>62</v>
      </c>
      <c r="F187">
        <v>90</v>
      </c>
      <c r="G187" t="s">
        <v>224</v>
      </c>
      <c r="H187" t="s">
        <v>318</v>
      </c>
      <c r="I187" t="s">
        <v>284</v>
      </c>
      <c r="J187" t="s">
        <v>321</v>
      </c>
      <c r="K187">
        <v>2023</v>
      </c>
      <c r="L187" t="s">
        <v>226</v>
      </c>
      <c r="M187">
        <v>90</v>
      </c>
      <c r="N187" t="s">
        <v>227</v>
      </c>
      <c r="O187" t="s">
        <v>134</v>
      </c>
      <c r="P187" t="s">
        <v>26</v>
      </c>
    </row>
    <row r="188" spans="1:16">
      <c r="A188">
        <v>2</v>
      </c>
      <c r="B188" t="s">
        <v>129</v>
      </c>
      <c r="C188" t="s">
        <v>17</v>
      </c>
      <c r="D188" t="s">
        <v>262</v>
      </c>
      <c r="E188" t="s">
        <v>51</v>
      </c>
      <c r="F188">
        <v>70</v>
      </c>
      <c r="G188" t="s">
        <v>224</v>
      </c>
      <c r="H188" t="s">
        <v>322</v>
      </c>
      <c r="I188" t="s">
        <v>284</v>
      </c>
      <c r="J188" t="s">
        <v>323</v>
      </c>
      <c r="K188">
        <v>2025</v>
      </c>
      <c r="L188" t="s">
        <v>226</v>
      </c>
      <c r="M188" s="2">
        <v>70</v>
      </c>
      <c r="N188" t="s">
        <v>227</v>
      </c>
      <c r="O188" t="s">
        <v>134</v>
      </c>
      <c r="P188" t="s">
        <v>26</v>
      </c>
    </row>
    <row r="189" spans="1:16">
      <c r="A189">
        <v>2</v>
      </c>
      <c r="B189" t="s">
        <v>129</v>
      </c>
      <c r="C189" t="s">
        <v>17</v>
      </c>
      <c r="D189" t="s">
        <v>262</v>
      </c>
      <c r="E189" t="s">
        <v>57</v>
      </c>
      <c r="F189">
        <v>72</v>
      </c>
      <c r="G189" t="s">
        <v>224</v>
      </c>
      <c r="H189" t="s">
        <v>322</v>
      </c>
      <c r="I189" t="s">
        <v>284</v>
      </c>
      <c r="J189" t="s">
        <v>324</v>
      </c>
      <c r="K189">
        <v>2024</v>
      </c>
      <c r="L189" t="s">
        <v>226</v>
      </c>
      <c r="M189" s="2">
        <v>72</v>
      </c>
      <c r="N189" t="s">
        <v>227</v>
      </c>
      <c r="O189" t="s">
        <v>134</v>
      </c>
      <c r="P189" t="s">
        <v>26</v>
      </c>
    </row>
    <row r="190" spans="1:16">
      <c r="A190">
        <v>2</v>
      </c>
      <c r="B190" t="s">
        <v>129</v>
      </c>
      <c r="C190" t="s">
        <v>17</v>
      </c>
      <c r="D190" t="s">
        <v>262</v>
      </c>
      <c r="E190" t="s">
        <v>62</v>
      </c>
      <c r="F190">
        <v>75</v>
      </c>
      <c r="G190" t="s">
        <v>224</v>
      </c>
      <c r="H190" t="s">
        <v>322</v>
      </c>
      <c r="I190" t="s">
        <v>284</v>
      </c>
      <c r="J190" t="s">
        <v>325</v>
      </c>
      <c r="K190">
        <v>2023</v>
      </c>
      <c r="L190" t="s">
        <v>226</v>
      </c>
      <c r="M190" s="2">
        <v>75</v>
      </c>
      <c r="N190" t="s">
        <v>227</v>
      </c>
      <c r="O190" t="s">
        <v>134</v>
      </c>
      <c r="P190" t="s">
        <v>26</v>
      </c>
    </row>
    <row r="191" spans="1:16">
      <c r="A191">
        <v>15</v>
      </c>
      <c r="B191" t="s">
        <v>164</v>
      </c>
      <c r="C191" t="s">
        <v>17</v>
      </c>
      <c r="D191" t="s">
        <v>262</v>
      </c>
      <c r="E191" t="s">
        <v>51</v>
      </c>
      <c r="F191">
        <v>80</v>
      </c>
      <c r="G191" t="s">
        <v>224</v>
      </c>
      <c r="H191" t="s">
        <v>289</v>
      </c>
      <c r="I191" t="s">
        <v>284</v>
      </c>
      <c r="J191" t="s">
        <v>326</v>
      </c>
      <c r="K191">
        <v>2025</v>
      </c>
      <c r="L191" t="s">
        <v>226</v>
      </c>
      <c r="M191">
        <v>80</v>
      </c>
      <c r="N191" t="s">
        <v>227</v>
      </c>
      <c r="O191" t="s">
        <v>134</v>
      </c>
      <c r="P191" t="s">
        <v>26</v>
      </c>
    </row>
    <row r="192" spans="1:16">
      <c r="A192">
        <v>15</v>
      </c>
      <c r="B192" t="s">
        <v>164</v>
      </c>
      <c r="C192" t="s">
        <v>17</v>
      </c>
      <c r="D192" t="s">
        <v>262</v>
      </c>
      <c r="E192" t="s">
        <v>57</v>
      </c>
      <c r="F192">
        <v>82</v>
      </c>
      <c r="G192" t="s">
        <v>224</v>
      </c>
      <c r="H192" t="s">
        <v>289</v>
      </c>
      <c r="I192" t="s">
        <v>284</v>
      </c>
      <c r="J192" t="s">
        <v>327</v>
      </c>
      <c r="K192">
        <v>2024</v>
      </c>
      <c r="L192" t="s">
        <v>226</v>
      </c>
      <c r="M192">
        <v>82</v>
      </c>
      <c r="N192" t="s">
        <v>227</v>
      </c>
      <c r="O192" t="s">
        <v>134</v>
      </c>
      <c r="P192" t="s">
        <v>26</v>
      </c>
    </row>
    <row r="193" spans="1:16">
      <c r="A193">
        <v>15</v>
      </c>
      <c r="B193" t="s">
        <v>164</v>
      </c>
      <c r="C193" t="s">
        <v>17</v>
      </c>
      <c r="D193" t="s">
        <v>262</v>
      </c>
      <c r="E193" t="s">
        <v>62</v>
      </c>
      <c r="F193">
        <v>85</v>
      </c>
      <c r="G193" t="s">
        <v>224</v>
      </c>
      <c r="H193" t="s">
        <v>289</v>
      </c>
      <c r="I193" t="s">
        <v>284</v>
      </c>
      <c r="J193" t="s">
        <v>319</v>
      </c>
      <c r="K193">
        <v>2023</v>
      </c>
      <c r="L193" t="s">
        <v>226</v>
      </c>
      <c r="M193">
        <v>85</v>
      </c>
      <c r="N193" t="s">
        <v>227</v>
      </c>
      <c r="O193" t="s">
        <v>134</v>
      </c>
      <c r="P193" t="s">
        <v>26</v>
      </c>
    </row>
    <row r="194" spans="1:16">
      <c r="A194">
        <v>5</v>
      </c>
      <c r="B194" t="s">
        <v>589</v>
      </c>
      <c r="C194" t="s">
        <v>17</v>
      </c>
      <c r="D194" t="s">
        <v>262</v>
      </c>
      <c r="E194" t="s">
        <v>57</v>
      </c>
      <c r="F194">
        <v>110</v>
      </c>
      <c r="G194" t="s">
        <v>224</v>
      </c>
      <c r="H194" t="s">
        <v>286</v>
      </c>
      <c r="I194" t="s">
        <v>284</v>
      </c>
      <c r="J194" t="s">
        <v>328</v>
      </c>
      <c r="K194">
        <v>2024</v>
      </c>
      <c r="L194" t="s">
        <v>226</v>
      </c>
      <c r="M194">
        <v>110</v>
      </c>
      <c r="N194" t="s">
        <v>227</v>
      </c>
      <c r="O194" t="s">
        <v>134</v>
      </c>
      <c r="P194" t="s">
        <v>26</v>
      </c>
    </row>
    <row r="195" spans="1:16">
      <c r="A195">
        <v>5</v>
      </c>
      <c r="B195" t="s">
        <v>589</v>
      </c>
      <c r="C195" t="s">
        <v>17</v>
      </c>
      <c r="D195" t="s">
        <v>262</v>
      </c>
      <c r="E195" t="s">
        <v>62</v>
      </c>
      <c r="F195">
        <v>112</v>
      </c>
      <c r="G195" t="s">
        <v>224</v>
      </c>
      <c r="H195" t="s">
        <v>286</v>
      </c>
      <c r="I195" t="s">
        <v>284</v>
      </c>
      <c r="J195" t="s">
        <v>329</v>
      </c>
      <c r="K195">
        <v>2023</v>
      </c>
      <c r="L195" t="s">
        <v>226</v>
      </c>
      <c r="M195">
        <v>112</v>
      </c>
      <c r="N195" t="s">
        <v>227</v>
      </c>
      <c r="O195" t="s">
        <v>134</v>
      </c>
      <c r="P195" t="s">
        <v>26</v>
      </c>
    </row>
    <row r="196" spans="1:16">
      <c r="A196">
        <v>13</v>
      </c>
      <c r="B196" t="s">
        <v>144</v>
      </c>
      <c r="C196" t="s">
        <v>17</v>
      </c>
      <c r="D196" t="s">
        <v>262</v>
      </c>
      <c r="E196" t="s">
        <v>51</v>
      </c>
      <c r="F196">
        <v>100</v>
      </c>
      <c r="G196" t="s">
        <v>224</v>
      </c>
      <c r="H196" t="s">
        <v>294</v>
      </c>
      <c r="I196" t="s">
        <v>284</v>
      </c>
      <c r="J196" t="s">
        <v>330</v>
      </c>
      <c r="K196">
        <v>2025</v>
      </c>
      <c r="L196" t="s">
        <v>226</v>
      </c>
      <c r="M196" s="2">
        <v>100</v>
      </c>
      <c r="N196" t="s">
        <v>227</v>
      </c>
      <c r="O196" t="s">
        <v>134</v>
      </c>
      <c r="P196" t="s">
        <v>26</v>
      </c>
    </row>
    <row r="197" spans="1:16">
      <c r="A197">
        <v>13</v>
      </c>
      <c r="B197" t="s">
        <v>144</v>
      </c>
      <c r="C197" t="s">
        <v>17</v>
      </c>
      <c r="D197" t="s">
        <v>262</v>
      </c>
      <c r="E197" t="s">
        <v>57</v>
      </c>
      <c r="F197">
        <v>98</v>
      </c>
      <c r="G197" t="s">
        <v>224</v>
      </c>
      <c r="H197" t="s">
        <v>294</v>
      </c>
      <c r="I197" t="s">
        <v>284</v>
      </c>
      <c r="J197" t="s">
        <v>331</v>
      </c>
      <c r="K197">
        <v>2024</v>
      </c>
      <c r="L197" t="s">
        <v>226</v>
      </c>
      <c r="M197" s="2">
        <v>98</v>
      </c>
      <c r="N197" t="s">
        <v>227</v>
      </c>
      <c r="O197" t="s">
        <v>134</v>
      </c>
      <c r="P197" t="s">
        <v>26</v>
      </c>
    </row>
    <row r="198" spans="1:16">
      <c r="A198">
        <v>13</v>
      </c>
      <c r="B198" t="s">
        <v>144</v>
      </c>
      <c r="C198" t="s">
        <v>17</v>
      </c>
      <c r="D198" t="s">
        <v>262</v>
      </c>
      <c r="E198" t="s">
        <v>62</v>
      </c>
      <c r="F198">
        <v>95</v>
      </c>
      <c r="G198" t="s">
        <v>224</v>
      </c>
      <c r="H198" t="s">
        <v>294</v>
      </c>
      <c r="I198" t="s">
        <v>284</v>
      </c>
      <c r="J198" t="s">
        <v>332</v>
      </c>
      <c r="K198">
        <v>2023</v>
      </c>
      <c r="L198" t="s">
        <v>226</v>
      </c>
      <c r="M198" s="2">
        <v>95</v>
      </c>
      <c r="N198" t="s">
        <v>227</v>
      </c>
      <c r="O198" t="s">
        <v>134</v>
      </c>
      <c r="P198" t="s">
        <v>26</v>
      </c>
    </row>
    <row r="199" spans="1:16">
      <c r="A199">
        <v>14</v>
      </c>
      <c r="B199" t="s">
        <v>1079</v>
      </c>
      <c r="C199" t="s">
        <v>17</v>
      </c>
      <c r="D199" t="s">
        <v>262</v>
      </c>
      <c r="E199" t="s">
        <v>51</v>
      </c>
      <c r="F199">
        <v>65</v>
      </c>
      <c r="G199" t="s">
        <v>224</v>
      </c>
      <c r="H199" t="s">
        <v>293</v>
      </c>
      <c r="I199" t="s">
        <v>284</v>
      </c>
      <c r="J199" t="s">
        <v>333</v>
      </c>
      <c r="K199">
        <v>2025</v>
      </c>
      <c r="L199" t="s">
        <v>226</v>
      </c>
      <c r="M199">
        <v>65</v>
      </c>
      <c r="N199" t="s">
        <v>227</v>
      </c>
      <c r="O199" t="s">
        <v>134</v>
      </c>
      <c r="P199" t="s">
        <v>26</v>
      </c>
    </row>
    <row r="200" spans="1:16">
      <c r="A200">
        <v>14</v>
      </c>
      <c r="B200" t="s">
        <v>1079</v>
      </c>
      <c r="C200" t="s">
        <v>17</v>
      </c>
      <c r="D200" t="s">
        <v>262</v>
      </c>
      <c r="E200" t="s">
        <v>57</v>
      </c>
      <c r="F200">
        <v>70</v>
      </c>
      <c r="G200" t="s">
        <v>224</v>
      </c>
      <c r="H200" t="s">
        <v>293</v>
      </c>
      <c r="I200" t="s">
        <v>284</v>
      </c>
      <c r="J200" t="s">
        <v>323</v>
      </c>
      <c r="K200">
        <v>2024</v>
      </c>
      <c r="L200" t="s">
        <v>226</v>
      </c>
      <c r="M200">
        <v>70</v>
      </c>
      <c r="N200" t="s">
        <v>227</v>
      </c>
      <c r="O200" t="s">
        <v>134</v>
      </c>
      <c r="P200" t="s">
        <v>26</v>
      </c>
    </row>
    <row r="201" spans="1:16">
      <c r="A201">
        <v>14</v>
      </c>
      <c r="B201" t="s">
        <v>1079</v>
      </c>
      <c r="C201" t="s">
        <v>17</v>
      </c>
      <c r="D201" t="s">
        <v>262</v>
      </c>
      <c r="E201" t="s">
        <v>62</v>
      </c>
      <c r="F201">
        <v>75</v>
      </c>
      <c r="G201" t="s">
        <v>224</v>
      </c>
      <c r="H201" t="s">
        <v>293</v>
      </c>
      <c r="I201" t="s">
        <v>284</v>
      </c>
      <c r="J201" t="s">
        <v>325</v>
      </c>
      <c r="K201">
        <v>2023</v>
      </c>
      <c r="L201" t="s">
        <v>226</v>
      </c>
      <c r="M201">
        <v>75</v>
      </c>
      <c r="N201" t="s">
        <v>227</v>
      </c>
      <c r="O201" t="s">
        <v>134</v>
      </c>
      <c r="P201" t="s">
        <v>26</v>
      </c>
    </row>
    <row r="202" spans="1:16">
      <c r="A202">
        <v>18</v>
      </c>
      <c r="B202" t="s">
        <v>930</v>
      </c>
      <c r="C202" t="s">
        <v>586</v>
      </c>
      <c r="D202" t="s">
        <v>334</v>
      </c>
      <c r="E202" t="s">
        <v>51</v>
      </c>
      <c r="F202">
        <v>6685</v>
      </c>
      <c r="G202" t="s">
        <v>231</v>
      </c>
      <c r="H202" t="s">
        <v>21</v>
      </c>
      <c r="I202" t="s">
        <v>335</v>
      </c>
      <c r="J202" t="s">
        <v>336</v>
      </c>
      <c r="K202">
        <v>2025</v>
      </c>
      <c r="L202" t="s">
        <v>233</v>
      </c>
      <c r="M202">
        <v>6685</v>
      </c>
      <c r="N202" t="s">
        <v>337</v>
      </c>
      <c r="O202" t="s">
        <v>338</v>
      </c>
      <c r="P202" t="s">
        <v>26</v>
      </c>
    </row>
    <row r="203" spans="1:16">
      <c r="A203">
        <v>18</v>
      </c>
      <c r="B203" t="s">
        <v>930</v>
      </c>
      <c r="C203" t="s">
        <v>586</v>
      </c>
      <c r="D203" t="s">
        <v>334</v>
      </c>
      <c r="E203" t="s">
        <v>57</v>
      </c>
      <c r="F203">
        <v>6439</v>
      </c>
      <c r="G203" t="s">
        <v>231</v>
      </c>
      <c r="H203" t="s">
        <v>21</v>
      </c>
      <c r="I203" t="s">
        <v>335</v>
      </c>
      <c r="J203" t="s">
        <v>339</v>
      </c>
      <c r="K203">
        <v>2024</v>
      </c>
      <c r="L203" t="s">
        <v>233</v>
      </c>
      <c r="M203">
        <v>6439</v>
      </c>
      <c r="N203" t="s">
        <v>337</v>
      </c>
      <c r="O203" t="s">
        <v>338</v>
      </c>
      <c r="P203" t="s">
        <v>26</v>
      </c>
    </row>
    <row r="204" spans="1:16">
      <c r="A204">
        <v>18</v>
      </c>
      <c r="B204" t="s">
        <v>930</v>
      </c>
      <c r="C204" t="s">
        <v>586</v>
      </c>
      <c r="D204" t="s">
        <v>334</v>
      </c>
      <c r="E204" t="s">
        <v>62</v>
      </c>
      <c r="F204">
        <v>5939</v>
      </c>
      <c r="G204" t="s">
        <v>231</v>
      </c>
      <c r="H204" t="s">
        <v>21</v>
      </c>
      <c r="I204" t="s">
        <v>335</v>
      </c>
      <c r="J204" t="s">
        <v>340</v>
      </c>
      <c r="K204">
        <v>2023</v>
      </c>
      <c r="L204" t="s">
        <v>233</v>
      </c>
      <c r="M204">
        <v>5939</v>
      </c>
      <c r="N204" t="s">
        <v>337</v>
      </c>
      <c r="O204" t="s">
        <v>338</v>
      </c>
      <c r="P204" t="s">
        <v>26</v>
      </c>
    </row>
    <row r="205" spans="1:16">
      <c r="A205">
        <v>16</v>
      </c>
      <c r="B205" t="s">
        <v>913</v>
      </c>
      <c r="C205" t="s">
        <v>586</v>
      </c>
      <c r="D205" t="s">
        <v>334</v>
      </c>
      <c r="E205" t="s">
        <v>51</v>
      </c>
      <c r="F205">
        <v>4655</v>
      </c>
      <c r="G205" t="s">
        <v>231</v>
      </c>
      <c r="H205" t="s">
        <v>283</v>
      </c>
      <c r="I205" t="s">
        <v>335</v>
      </c>
      <c r="J205" t="s">
        <v>341</v>
      </c>
      <c r="K205">
        <v>2025</v>
      </c>
      <c r="L205" t="s">
        <v>233</v>
      </c>
      <c r="M205">
        <v>4655</v>
      </c>
      <c r="N205" t="s">
        <v>337</v>
      </c>
      <c r="O205" t="s">
        <v>338</v>
      </c>
      <c r="P205" t="s">
        <v>26</v>
      </c>
    </row>
    <row r="206" spans="1:16">
      <c r="A206">
        <v>16</v>
      </c>
      <c r="B206" t="s">
        <v>913</v>
      </c>
      <c r="C206" t="s">
        <v>586</v>
      </c>
      <c r="D206" t="s">
        <v>334</v>
      </c>
      <c r="E206" t="s">
        <v>57</v>
      </c>
      <c r="F206">
        <v>4464</v>
      </c>
      <c r="G206" t="s">
        <v>231</v>
      </c>
      <c r="H206" t="s">
        <v>283</v>
      </c>
      <c r="I206" t="s">
        <v>335</v>
      </c>
      <c r="J206" t="s">
        <v>342</v>
      </c>
      <c r="K206">
        <v>2024</v>
      </c>
      <c r="L206" t="s">
        <v>233</v>
      </c>
      <c r="M206">
        <v>4464</v>
      </c>
      <c r="N206" t="s">
        <v>337</v>
      </c>
      <c r="O206" t="s">
        <v>338</v>
      </c>
      <c r="P206" t="s">
        <v>26</v>
      </c>
    </row>
    <row r="207" spans="1:16">
      <c r="A207">
        <v>16</v>
      </c>
      <c r="B207" t="s">
        <v>913</v>
      </c>
      <c r="C207" t="s">
        <v>586</v>
      </c>
      <c r="D207" t="s">
        <v>334</v>
      </c>
      <c r="E207" t="s">
        <v>62</v>
      </c>
      <c r="F207">
        <v>4259</v>
      </c>
      <c r="G207" t="s">
        <v>231</v>
      </c>
      <c r="H207" t="s">
        <v>283</v>
      </c>
      <c r="I207" t="s">
        <v>335</v>
      </c>
      <c r="J207" t="s">
        <v>343</v>
      </c>
      <c r="K207">
        <v>2023</v>
      </c>
      <c r="L207" t="s">
        <v>233</v>
      </c>
      <c r="M207">
        <v>4259</v>
      </c>
      <c r="N207" t="s">
        <v>337</v>
      </c>
      <c r="O207" t="s">
        <v>338</v>
      </c>
      <c r="P207" t="s">
        <v>26</v>
      </c>
    </row>
    <row r="208" spans="1:16">
      <c r="A208">
        <v>17</v>
      </c>
      <c r="B208" t="s">
        <v>935</v>
      </c>
      <c r="C208" t="s">
        <v>586</v>
      </c>
      <c r="D208" t="s">
        <v>334</v>
      </c>
      <c r="E208" t="s">
        <v>51</v>
      </c>
      <c r="F208">
        <v>4444</v>
      </c>
      <c r="G208" t="s">
        <v>231</v>
      </c>
      <c r="H208" t="s">
        <v>303</v>
      </c>
      <c r="I208" t="s">
        <v>335</v>
      </c>
      <c r="J208" t="s">
        <v>344</v>
      </c>
      <c r="K208">
        <v>2025</v>
      </c>
      <c r="L208" t="s">
        <v>233</v>
      </c>
      <c r="M208">
        <v>4444</v>
      </c>
      <c r="N208" t="s">
        <v>337</v>
      </c>
      <c r="O208" t="s">
        <v>338</v>
      </c>
      <c r="P208" t="s">
        <v>26</v>
      </c>
    </row>
    <row r="209" spans="1:16">
      <c r="A209">
        <v>17</v>
      </c>
      <c r="B209" t="s">
        <v>935</v>
      </c>
      <c r="C209" t="s">
        <v>586</v>
      </c>
      <c r="D209" t="s">
        <v>334</v>
      </c>
      <c r="E209" t="s">
        <v>57</v>
      </c>
      <c r="F209">
        <v>4194</v>
      </c>
      <c r="G209" t="s">
        <v>231</v>
      </c>
      <c r="H209" t="s">
        <v>303</v>
      </c>
      <c r="I209" t="s">
        <v>335</v>
      </c>
      <c r="J209" t="s">
        <v>345</v>
      </c>
      <c r="K209">
        <v>2024</v>
      </c>
      <c r="L209" t="s">
        <v>233</v>
      </c>
      <c r="M209">
        <v>4194</v>
      </c>
      <c r="N209" t="s">
        <v>337</v>
      </c>
      <c r="O209" t="s">
        <v>338</v>
      </c>
      <c r="P209" t="s">
        <v>26</v>
      </c>
    </row>
    <row r="210" spans="1:16">
      <c r="A210">
        <v>17</v>
      </c>
      <c r="B210" t="s">
        <v>935</v>
      </c>
      <c r="C210" t="s">
        <v>586</v>
      </c>
      <c r="D210" t="s">
        <v>334</v>
      </c>
      <c r="E210" t="s">
        <v>62</v>
      </c>
      <c r="F210">
        <v>4000</v>
      </c>
      <c r="G210" t="s">
        <v>231</v>
      </c>
      <c r="H210" t="s">
        <v>303</v>
      </c>
      <c r="I210" t="s">
        <v>335</v>
      </c>
      <c r="J210" t="s">
        <v>346</v>
      </c>
      <c r="K210">
        <v>2023</v>
      </c>
      <c r="L210" t="s">
        <v>233</v>
      </c>
      <c r="M210">
        <v>4000</v>
      </c>
      <c r="N210" t="s">
        <v>337</v>
      </c>
      <c r="O210" t="s">
        <v>338</v>
      </c>
      <c r="P210" t="s">
        <v>26</v>
      </c>
    </row>
    <row r="211" spans="1:16">
      <c r="A211">
        <v>2</v>
      </c>
      <c r="B211" t="s">
        <v>129</v>
      </c>
      <c r="C211" t="s">
        <v>17</v>
      </c>
      <c r="D211" t="s">
        <v>334</v>
      </c>
      <c r="E211" t="s">
        <v>51</v>
      </c>
      <c r="F211">
        <v>2286</v>
      </c>
      <c r="G211" t="s">
        <v>231</v>
      </c>
      <c r="H211" t="s">
        <v>322</v>
      </c>
      <c r="I211" t="s">
        <v>335</v>
      </c>
      <c r="J211" t="s">
        <v>347</v>
      </c>
      <c r="K211">
        <v>2025</v>
      </c>
      <c r="L211" t="s">
        <v>233</v>
      </c>
      <c r="M211" s="2">
        <v>2286</v>
      </c>
      <c r="N211" t="s">
        <v>337</v>
      </c>
      <c r="O211" t="s">
        <v>338</v>
      </c>
      <c r="P211" t="s">
        <v>26</v>
      </c>
    </row>
    <row r="212" spans="1:16">
      <c r="A212">
        <v>2</v>
      </c>
      <c r="B212" t="s">
        <v>129</v>
      </c>
      <c r="C212" t="s">
        <v>17</v>
      </c>
      <c r="D212" t="s">
        <v>334</v>
      </c>
      <c r="E212" t="s">
        <v>57</v>
      </c>
      <c r="F212">
        <v>2294</v>
      </c>
      <c r="G212" t="s">
        <v>231</v>
      </c>
      <c r="H212" t="s">
        <v>322</v>
      </c>
      <c r="I212" t="s">
        <v>335</v>
      </c>
      <c r="J212" t="s">
        <v>348</v>
      </c>
      <c r="K212">
        <v>2024</v>
      </c>
      <c r="L212" t="s">
        <v>233</v>
      </c>
      <c r="M212" s="2">
        <v>2294</v>
      </c>
      <c r="N212" t="s">
        <v>337</v>
      </c>
      <c r="O212" t="s">
        <v>338</v>
      </c>
      <c r="P212" t="s">
        <v>26</v>
      </c>
    </row>
    <row r="213" spans="1:16">
      <c r="A213">
        <v>2</v>
      </c>
      <c r="B213" t="s">
        <v>129</v>
      </c>
      <c r="C213" t="s">
        <v>17</v>
      </c>
      <c r="D213" t="s">
        <v>334</v>
      </c>
      <c r="E213" t="s">
        <v>62</v>
      </c>
      <c r="F213">
        <v>2344</v>
      </c>
      <c r="G213" t="s">
        <v>231</v>
      </c>
      <c r="H213" t="s">
        <v>322</v>
      </c>
      <c r="I213" t="s">
        <v>335</v>
      </c>
      <c r="J213" t="s">
        <v>349</v>
      </c>
      <c r="K213">
        <v>2023</v>
      </c>
      <c r="L213" t="s">
        <v>233</v>
      </c>
      <c r="M213" s="2">
        <v>2344</v>
      </c>
      <c r="N213" t="s">
        <v>337</v>
      </c>
      <c r="O213" t="s">
        <v>338</v>
      </c>
      <c r="P213" t="s">
        <v>26</v>
      </c>
    </row>
    <row r="214" spans="1:16">
      <c r="A214">
        <v>1</v>
      </c>
      <c r="B214" t="s">
        <v>910</v>
      </c>
      <c r="C214" t="s">
        <v>17</v>
      </c>
      <c r="D214" t="s">
        <v>334</v>
      </c>
      <c r="E214" t="s">
        <v>51</v>
      </c>
      <c r="F214">
        <v>47059</v>
      </c>
      <c r="G214" t="s">
        <v>231</v>
      </c>
      <c r="H214" t="s">
        <v>318</v>
      </c>
      <c r="I214" t="s">
        <v>335</v>
      </c>
      <c r="J214" t="s">
        <v>350</v>
      </c>
      <c r="K214">
        <v>2025</v>
      </c>
      <c r="L214" t="s">
        <v>233</v>
      </c>
      <c r="M214">
        <v>47059</v>
      </c>
      <c r="N214" t="s">
        <v>337</v>
      </c>
      <c r="O214" t="s">
        <v>338</v>
      </c>
      <c r="P214" t="s">
        <v>26</v>
      </c>
    </row>
    <row r="215" spans="1:16">
      <c r="A215">
        <v>1</v>
      </c>
      <c r="B215" t="s">
        <v>910</v>
      </c>
      <c r="C215" t="s">
        <v>17</v>
      </c>
      <c r="D215" t="s">
        <v>334</v>
      </c>
      <c r="E215" t="s">
        <v>57</v>
      </c>
      <c r="F215">
        <v>46154</v>
      </c>
      <c r="G215" t="s">
        <v>231</v>
      </c>
      <c r="H215" t="s">
        <v>318</v>
      </c>
      <c r="I215" t="s">
        <v>335</v>
      </c>
      <c r="J215" t="s">
        <v>351</v>
      </c>
      <c r="K215">
        <v>2024</v>
      </c>
      <c r="L215" t="s">
        <v>233</v>
      </c>
      <c r="M215">
        <v>46154</v>
      </c>
      <c r="N215" t="s">
        <v>337</v>
      </c>
      <c r="O215" t="s">
        <v>338</v>
      </c>
      <c r="P215" t="s">
        <v>26</v>
      </c>
    </row>
    <row r="216" spans="1:16">
      <c r="A216">
        <v>1</v>
      </c>
      <c r="B216" t="s">
        <v>910</v>
      </c>
      <c r="C216" t="s">
        <v>17</v>
      </c>
      <c r="D216" t="s">
        <v>334</v>
      </c>
      <c r="E216" t="s">
        <v>62</v>
      </c>
      <c r="F216">
        <v>45161</v>
      </c>
      <c r="G216" t="s">
        <v>231</v>
      </c>
      <c r="H216" t="s">
        <v>318</v>
      </c>
      <c r="I216" t="s">
        <v>335</v>
      </c>
      <c r="J216" t="s">
        <v>352</v>
      </c>
      <c r="K216">
        <v>2023</v>
      </c>
      <c r="L216" t="s">
        <v>233</v>
      </c>
      <c r="M216">
        <v>45161</v>
      </c>
      <c r="N216" t="s">
        <v>337</v>
      </c>
      <c r="O216" t="s">
        <v>338</v>
      </c>
      <c r="P216" t="s">
        <v>26</v>
      </c>
    </row>
    <row r="217" spans="1:16">
      <c r="A217">
        <v>15</v>
      </c>
      <c r="B217" t="s">
        <v>164</v>
      </c>
      <c r="C217" t="s">
        <v>17</v>
      </c>
      <c r="D217" t="s">
        <v>334</v>
      </c>
      <c r="E217" t="s">
        <v>51</v>
      </c>
      <c r="F217">
        <v>18750</v>
      </c>
      <c r="G217" t="s">
        <v>231</v>
      </c>
      <c r="H217" t="s">
        <v>289</v>
      </c>
      <c r="I217" t="s">
        <v>335</v>
      </c>
      <c r="J217" t="s">
        <v>353</v>
      </c>
      <c r="K217">
        <v>2025</v>
      </c>
      <c r="L217" t="s">
        <v>233</v>
      </c>
      <c r="M217">
        <v>18750</v>
      </c>
      <c r="N217" t="s">
        <v>337</v>
      </c>
      <c r="O217" t="s">
        <v>338</v>
      </c>
      <c r="P217" t="s">
        <v>26</v>
      </c>
    </row>
    <row r="218" spans="1:16">
      <c r="A218">
        <v>15</v>
      </c>
      <c r="B218" t="s">
        <v>164</v>
      </c>
      <c r="C218" t="s">
        <v>17</v>
      </c>
      <c r="D218" t="s">
        <v>334</v>
      </c>
      <c r="E218" t="s">
        <v>57</v>
      </c>
      <c r="F218">
        <v>18718</v>
      </c>
      <c r="G218" t="s">
        <v>231</v>
      </c>
      <c r="H218" t="s">
        <v>289</v>
      </c>
      <c r="I218" t="s">
        <v>335</v>
      </c>
      <c r="J218" t="s">
        <v>354</v>
      </c>
      <c r="K218">
        <v>2024</v>
      </c>
      <c r="L218" t="s">
        <v>233</v>
      </c>
      <c r="M218">
        <v>18718</v>
      </c>
      <c r="N218" t="s">
        <v>337</v>
      </c>
      <c r="O218" t="s">
        <v>338</v>
      </c>
      <c r="P218" t="s">
        <v>26</v>
      </c>
    </row>
    <row r="219" spans="1:16">
      <c r="A219">
        <v>15</v>
      </c>
      <c r="B219" t="s">
        <v>164</v>
      </c>
      <c r="C219" t="s">
        <v>17</v>
      </c>
      <c r="D219" t="s">
        <v>334</v>
      </c>
      <c r="E219" t="s">
        <v>62</v>
      </c>
      <c r="F219">
        <v>18684</v>
      </c>
      <c r="G219" t="s">
        <v>231</v>
      </c>
      <c r="H219" t="s">
        <v>289</v>
      </c>
      <c r="I219" t="s">
        <v>335</v>
      </c>
      <c r="J219" t="s">
        <v>355</v>
      </c>
      <c r="K219">
        <v>2023</v>
      </c>
      <c r="L219" t="s">
        <v>233</v>
      </c>
      <c r="M219">
        <v>18684</v>
      </c>
      <c r="N219" t="s">
        <v>337</v>
      </c>
      <c r="O219" t="s">
        <v>338</v>
      </c>
      <c r="P219" t="s">
        <v>26</v>
      </c>
    </row>
    <row r="220" spans="1:16">
      <c r="A220">
        <v>24</v>
      </c>
      <c r="B220" t="s">
        <v>929</v>
      </c>
      <c r="C220" t="s">
        <v>586</v>
      </c>
      <c r="D220" t="s">
        <v>18</v>
      </c>
      <c r="E220" t="s">
        <v>357</v>
      </c>
      <c r="F220">
        <v>27012900</v>
      </c>
      <c r="G220" t="s">
        <v>358</v>
      </c>
      <c r="H220" t="s">
        <v>359</v>
      </c>
      <c r="I220" t="s">
        <v>360</v>
      </c>
      <c r="J220" t="s">
        <v>361</v>
      </c>
      <c r="K220">
        <v>2025</v>
      </c>
      <c r="L220" t="s">
        <v>23</v>
      </c>
      <c r="M220">
        <v>27012900</v>
      </c>
      <c r="N220" t="s">
        <v>362</v>
      </c>
      <c r="O220" t="s">
        <v>134</v>
      </c>
      <c r="P220" t="s">
        <v>26</v>
      </c>
    </row>
    <row r="221" spans="1:16">
      <c r="A221">
        <v>24</v>
      </c>
      <c r="B221" t="s">
        <v>929</v>
      </c>
      <c r="C221" t="s">
        <v>586</v>
      </c>
      <c r="D221" t="s">
        <v>27</v>
      </c>
      <c r="E221" t="s">
        <v>357</v>
      </c>
      <c r="F221">
        <v>10383400</v>
      </c>
      <c r="G221" t="s">
        <v>358</v>
      </c>
      <c r="H221" t="s">
        <v>359</v>
      </c>
      <c r="I221" t="s">
        <v>360</v>
      </c>
      <c r="J221" t="s">
        <v>363</v>
      </c>
      <c r="K221">
        <v>2025</v>
      </c>
      <c r="L221" t="s">
        <v>27</v>
      </c>
      <c r="M221">
        <v>10383400</v>
      </c>
      <c r="N221" t="s">
        <v>362</v>
      </c>
      <c r="O221" t="s">
        <v>134</v>
      </c>
      <c r="P221" t="s">
        <v>26</v>
      </c>
    </row>
    <row r="222" spans="1:16">
      <c r="A222">
        <v>24</v>
      </c>
      <c r="B222" t="s">
        <v>929</v>
      </c>
      <c r="C222" t="s">
        <v>586</v>
      </c>
      <c r="D222" t="s">
        <v>29</v>
      </c>
      <c r="E222" t="s">
        <v>357</v>
      </c>
      <c r="F222">
        <v>38.4</v>
      </c>
      <c r="G222" t="s">
        <v>30</v>
      </c>
      <c r="H222" t="s">
        <v>359</v>
      </c>
      <c r="I222" t="s">
        <v>360</v>
      </c>
      <c r="J222" t="s">
        <v>364</v>
      </c>
      <c r="K222">
        <v>2025</v>
      </c>
      <c r="L222" t="s">
        <v>29</v>
      </c>
      <c r="M222">
        <v>38.4</v>
      </c>
      <c r="N222" t="s">
        <v>365</v>
      </c>
      <c r="O222" t="s">
        <v>134</v>
      </c>
      <c r="P222" t="s">
        <v>26</v>
      </c>
    </row>
    <row r="223" spans="1:16">
      <c r="A223">
        <v>24</v>
      </c>
      <c r="B223" t="s">
        <v>929</v>
      </c>
      <c r="C223" t="s">
        <v>586</v>
      </c>
      <c r="D223" t="s">
        <v>35</v>
      </c>
      <c r="E223" t="s">
        <v>357</v>
      </c>
      <c r="F223">
        <v>1592700</v>
      </c>
      <c r="G223" t="s">
        <v>358</v>
      </c>
      <c r="H223" t="s">
        <v>359</v>
      </c>
      <c r="I223" t="s">
        <v>360</v>
      </c>
      <c r="J223" t="s">
        <v>366</v>
      </c>
      <c r="K223">
        <v>2025</v>
      </c>
      <c r="L223" t="s">
        <v>35</v>
      </c>
      <c r="M223">
        <v>1592700</v>
      </c>
      <c r="N223" t="s">
        <v>362</v>
      </c>
      <c r="O223" t="s">
        <v>134</v>
      </c>
      <c r="P223" t="s">
        <v>26</v>
      </c>
    </row>
    <row r="224" spans="1:16">
      <c r="A224">
        <v>24</v>
      </c>
      <c r="B224" t="s">
        <v>929</v>
      </c>
      <c r="C224" t="s">
        <v>586</v>
      </c>
      <c r="D224" t="s">
        <v>115</v>
      </c>
      <c r="E224" t="s">
        <v>357</v>
      </c>
      <c r="F224">
        <v>5.9</v>
      </c>
      <c r="G224" t="s">
        <v>30</v>
      </c>
      <c r="H224" t="s">
        <v>359</v>
      </c>
      <c r="I224" t="s">
        <v>360</v>
      </c>
      <c r="J224" t="s">
        <v>367</v>
      </c>
      <c r="K224">
        <v>2025</v>
      </c>
      <c r="L224" t="s">
        <v>115</v>
      </c>
      <c r="M224">
        <v>5.9</v>
      </c>
      <c r="N224" t="s">
        <v>368</v>
      </c>
      <c r="O224" t="s">
        <v>134</v>
      </c>
      <c r="P224" t="s">
        <v>26</v>
      </c>
    </row>
    <row r="225" spans="1:16">
      <c r="A225">
        <v>24</v>
      </c>
      <c r="B225" t="s">
        <v>929</v>
      </c>
      <c r="C225" t="s">
        <v>586</v>
      </c>
      <c r="D225" t="s">
        <v>369</v>
      </c>
      <c r="E225" t="s">
        <v>357</v>
      </c>
      <c r="F225">
        <v>1286000</v>
      </c>
      <c r="G225" t="s">
        <v>358</v>
      </c>
      <c r="H225" t="s">
        <v>359</v>
      </c>
      <c r="I225" t="s">
        <v>360</v>
      </c>
      <c r="J225" t="s">
        <v>370</v>
      </c>
      <c r="K225">
        <v>2025</v>
      </c>
      <c r="L225" t="s">
        <v>150</v>
      </c>
      <c r="M225">
        <v>1286000</v>
      </c>
      <c r="N225" t="s">
        <v>362</v>
      </c>
      <c r="O225" t="s">
        <v>134</v>
      </c>
      <c r="P225" t="s">
        <v>26</v>
      </c>
    </row>
    <row r="226" spans="1:16">
      <c r="A226">
        <v>24</v>
      </c>
      <c r="B226" t="s">
        <v>929</v>
      </c>
      <c r="C226" t="s">
        <v>586</v>
      </c>
      <c r="D226" t="s">
        <v>371</v>
      </c>
      <c r="E226" t="s">
        <v>357</v>
      </c>
      <c r="F226">
        <v>4.8</v>
      </c>
      <c r="G226" t="s">
        <v>30</v>
      </c>
      <c r="H226" t="s">
        <v>359</v>
      </c>
      <c r="I226" t="s">
        <v>360</v>
      </c>
      <c r="J226" t="s">
        <v>372</v>
      </c>
      <c r="K226">
        <v>2025</v>
      </c>
      <c r="L226" t="s">
        <v>36</v>
      </c>
      <c r="M226">
        <v>4.8</v>
      </c>
      <c r="N226" t="s">
        <v>373</v>
      </c>
      <c r="O226" t="s">
        <v>134</v>
      </c>
      <c r="P226" t="s">
        <v>26</v>
      </c>
    </row>
    <row r="227" spans="1:16">
      <c r="A227">
        <v>24</v>
      </c>
      <c r="B227" t="s">
        <v>929</v>
      </c>
      <c r="C227" t="s">
        <v>586</v>
      </c>
      <c r="D227" t="s">
        <v>374</v>
      </c>
      <c r="E227" t="s">
        <v>357</v>
      </c>
      <c r="F227">
        <v>134.9</v>
      </c>
      <c r="G227" t="s">
        <v>224</v>
      </c>
      <c r="H227" t="s">
        <v>359</v>
      </c>
      <c r="I227" t="s">
        <v>360</v>
      </c>
      <c r="J227" t="s">
        <v>375</v>
      </c>
      <c r="K227">
        <v>2025</v>
      </c>
      <c r="L227" t="s">
        <v>226</v>
      </c>
      <c r="M227">
        <v>134.9</v>
      </c>
      <c r="N227" t="s">
        <v>227</v>
      </c>
      <c r="O227" t="s">
        <v>134</v>
      </c>
      <c r="P227" t="s">
        <v>26</v>
      </c>
    </row>
    <row r="228" spans="1:16" ht="15">
      <c r="A228">
        <v>24</v>
      </c>
      <c r="B228" t="s">
        <v>929</v>
      </c>
      <c r="C228" t="s">
        <v>586</v>
      </c>
      <c r="D228" t="s">
        <v>203</v>
      </c>
      <c r="E228" t="s">
        <v>357</v>
      </c>
      <c r="F228">
        <v>33.1</v>
      </c>
      <c r="G228" t="s">
        <v>30</v>
      </c>
      <c r="H228" t="s">
        <v>359</v>
      </c>
      <c r="I228" t="s">
        <v>360</v>
      </c>
      <c r="J228" t="s">
        <v>376</v>
      </c>
      <c r="K228">
        <v>2025</v>
      </c>
      <c r="L228" s="13" t="s">
        <v>822</v>
      </c>
      <c r="M228">
        <v>33.1</v>
      </c>
      <c r="N228" t="s">
        <v>377</v>
      </c>
      <c r="O228" t="s">
        <v>378</v>
      </c>
      <c r="P228" t="s">
        <v>26</v>
      </c>
    </row>
    <row r="229" spans="1:16">
      <c r="A229">
        <v>24</v>
      </c>
      <c r="B229" t="s">
        <v>929</v>
      </c>
      <c r="C229" t="s">
        <v>586</v>
      </c>
      <c r="D229" t="s">
        <v>233</v>
      </c>
      <c r="E229" t="s">
        <v>357</v>
      </c>
      <c r="F229">
        <v>4502</v>
      </c>
      <c r="G229" t="s">
        <v>231</v>
      </c>
      <c r="H229" t="s">
        <v>359</v>
      </c>
      <c r="I229" t="s">
        <v>335</v>
      </c>
      <c r="J229" t="s">
        <v>379</v>
      </c>
      <c r="K229">
        <v>2025</v>
      </c>
      <c r="L229" t="s">
        <v>233</v>
      </c>
      <c r="M229">
        <v>4502</v>
      </c>
      <c r="N229" t="s">
        <v>234</v>
      </c>
      <c r="O229" t="s">
        <v>380</v>
      </c>
      <c r="P229" t="s">
        <v>26</v>
      </c>
    </row>
    <row r="230" spans="1:16">
      <c r="A230">
        <v>24</v>
      </c>
      <c r="B230" t="s">
        <v>929</v>
      </c>
      <c r="C230" t="s">
        <v>586</v>
      </c>
      <c r="D230" t="s">
        <v>18</v>
      </c>
      <c r="E230" t="s">
        <v>381</v>
      </c>
      <c r="F230">
        <v>28933200</v>
      </c>
      <c r="G230" t="s">
        <v>358</v>
      </c>
      <c r="H230" t="s">
        <v>382</v>
      </c>
      <c r="I230" t="s">
        <v>360</v>
      </c>
      <c r="J230" t="s">
        <v>383</v>
      </c>
      <c r="K230">
        <v>2024</v>
      </c>
      <c r="L230" t="s">
        <v>23</v>
      </c>
      <c r="M230">
        <v>28933200</v>
      </c>
      <c r="N230" t="s">
        <v>362</v>
      </c>
      <c r="O230" t="s">
        <v>134</v>
      </c>
      <c r="P230" t="s">
        <v>26</v>
      </c>
    </row>
    <row r="231" spans="1:16">
      <c r="A231">
        <v>24</v>
      </c>
      <c r="B231" t="s">
        <v>929</v>
      </c>
      <c r="C231" t="s">
        <v>586</v>
      </c>
      <c r="D231" t="s">
        <v>27</v>
      </c>
      <c r="E231" t="s">
        <v>381</v>
      </c>
      <c r="F231">
        <v>12080800</v>
      </c>
      <c r="G231" t="s">
        <v>358</v>
      </c>
      <c r="H231" t="s">
        <v>382</v>
      </c>
      <c r="I231" t="s">
        <v>360</v>
      </c>
      <c r="J231" t="s">
        <v>384</v>
      </c>
      <c r="K231">
        <v>2024</v>
      </c>
      <c r="L231" t="s">
        <v>27</v>
      </c>
      <c r="M231">
        <v>12080800</v>
      </c>
      <c r="N231" t="s">
        <v>362</v>
      </c>
      <c r="O231" t="s">
        <v>134</v>
      </c>
      <c r="P231" t="s">
        <v>26</v>
      </c>
    </row>
    <row r="232" spans="1:16">
      <c r="A232">
        <v>24</v>
      </c>
      <c r="B232" t="s">
        <v>929</v>
      </c>
      <c r="C232" t="s">
        <v>586</v>
      </c>
      <c r="D232" t="s">
        <v>29</v>
      </c>
      <c r="E232" t="s">
        <v>381</v>
      </c>
      <c r="F232">
        <v>41.8</v>
      </c>
      <c r="G232" t="s">
        <v>30</v>
      </c>
      <c r="H232" t="s">
        <v>382</v>
      </c>
      <c r="I232" t="s">
        <v>360</v>
      </c>
      <c r="J232" t="s">
        <v>385</v>
      </c>
      <c r="K232">
        <v>2024</v>
      </c>
      <c r="L232" t="s">
        <v>29</v>
      </c>
      <c r="M232">
        <v>41.8</v>
      </c>
      <c r="N232" t="s">
        <v>365</v>
      </c>
      <c r="O232" t="s">
        <v>134</v>
      </c>
      <c r="P232" t="s">
        <v>26</v>
      </c>
    </row>
    <row r="233" spans="1:16">
      <c r="A233">
        <v>24</v>
      </c>
      <c r="B233" t="s">
        <v>929</v>
      </c>
      <c r="C233" t="s">
        <v>586</v>
      </c>
      <c r="D233" t="s">
        <v>35</v>
      </c>
      <c r="E233" t="s">
        <v>381</v>
      </c>
      <c r="F233">
        <v>2786500</v>
      </c>
      <c r="G233" t="s">
        <v>358</v>
      </c>
      <c r="H233" t="s">
        <v>382</v>
      </c>
      <c r="I233" t="s">
        <v>360</v>
      </c>
      <c r="J233" t="s">
        <v>386</v>
      </c>
      <c r="K233">
        <v>2024</v>
      </c>
      <c r="L233" t="s">
        <v>35</v>
      </c>
      <c r="M233">
        <v>2786500</v>
      </c>
      <c r="N233" t="s">
        <v>362</v>
      </c>
      <c r="O233" t="s">
        <v>134</v>
      </c>
      <c r="P233" t="s">
        <v>26</v>
      </c>
    </row>
    <row r="234" spans="1:16">
      <c r="A234">
        <v>24</v>
      </c>
      <c r="B234" t="s">
        <v>929</v>
      </c>
      <c r="C234" t="s">
        <v>586</v>
      </c>
      <c r="D234" t="s">
        <v>115</v>
      </c>
      <c r="E234" t="s">
        <v>381</v>
      </c>
      <c r="F234">
        <v>9.6</v>
      </c>
      <c r="G234" t="s">
        <v>30</v>
      </c>
      <c r="H234" t="s">
        <v>382</v>
      </c>
      <c r="I234" t="s">
        <v>360</v>
      </c>
      <c r="J234" t="s">
        <v>387</v>
      </c>
      <c r="K234">
        <v>2024</v>
      </c>
      <c r="L234" t="s">
        <v>115</v>
      </c>
      <c r="M234">
        <v>9.6</v>
      </c>
      <c r="N234" t="s">
        <v>368</v>
      </c>
      <c r="O234" t="s">
        <v>134</v>
      </c>
      <c r="P234" t="s">
        <v>26</v>
      </c>
    </row>
    <row r="235" spans="1:16">
      <c r="A235">
        <v>24</v>
      </c>
      <c r="B235" t="s">
        <v>929</v>
      </c>
      <c r="C235" t="s">
        <v>586</v>
      </c>
      <c r="D235" t="s">
        <v>369</v>
      </c>
      <c r="E235" t="s">
        <v>381</v>
      </c>
      <c r="F235">
        <v>2213000</v>
      </c>
      <c r="G235" t="s">
        <v>358</v>
      </c>
      <c r="H235" t="s">
        <v>382</v>
      </c>
      <c r="I235" t="s">
        <v>360</v>
      </c>
      <c r="J235" t="s">
        <v>388</v>
      </c>
      <c r="K235">
        <v>2024</v>
      </c>
      <c r="L235" t="s">
        <v>150</v>
      </c>
      <c r="M235">
        <v>2213000</v>
      </c>
      <c r="N235" t="s">
        <v>362</v>
      </c>
      <c r="O235" t="s">
        <v>134</v>
      </c>
      <c r="P235" t="s">
        <v>26</v>
      </c>
    </row>
    <row r="236" spans="1:16">
      <c r="A236">
        <v>24</v>
      </c>
      <c r="B236" t="s">
        <v>929</v>
      </c>
      <c r="C236" t="s">
        <v>586</v>
      </c>
      <c r="D236" t="s">
        <v>371</v>
      </c>
      <c r="E236" t="s">
        <v>381</v>
      </c>
      <c r="F236">
        <v>7.6</v>
      </c>
      <c r="G236" t="s">
        <v>30</v>
      </c>
      <c r="H236" t="s">
        <v>382</v>
      </c>
      <c r="I236" t="s">
        <v>360</v>
      </c>
      <c r="J236" t="s">
        <v>389</v>
      </c>
      <c r="K236">
        <v>2024</v>
      </c>
      <c r="L236" t="s">
        <v>36</v>
      </c>
      <c r="M236">
        <v>7.6</v>
      </c>
      <c r="N236" t="s">
        <v>373</v>
      </c>
      <c r="O236" t="s">
        <v>134</v>
      </c>
      <c r="P236" t="s">
        <v>26</v>
      </c>
    </row>
    <row r="237" spans="1:16">
      <c r="A237">
        <v>24</v>
      </c>
      <c r="B237" t="s">
        <v>929</v>
      </c>
      <c r="C237" t="s">
        <v>586</v>
      </c>
      <c r="D237" t="s">
        <v>374</v>
      </c>
      <c r="E237" t="s">
        <v>381</v>
      </c>
      <c r="F237">
        <v>136.1</v>
      </c>
      <c r="G237" t="s">
        <v>224</v>
      </c>
      <c r="H237" t="s">
        <v>382</v>
      </c>
      <c r="I237" t="s">
        <v>360</v>
      </c>
      <c r="J237" t="s">
        <v>390</v>
      </c>
      <c r="K237">
        <v>2024</v>
      </c>
      <c r="L237" t="s">
        <v>226</v>
      </c>
      <c r="M237">
        <v>136.1</v>
      </c>
      <c r="N237" t="s">
        <v>227</v>
      </c>
      <c r="O237" t="s">
        <v>134</v>
      </c>
      <c r="P237" t="s">
        <v>26</v>
      </c>
    </row>
    <row r="238" spans="1:16" ht="15">
      <c r="A238">
        <v>24</v>
      </c>
      <c r="B238" t="s">
        <v>929</v>
      </c>
      <c r="C238" t="s">
        <v>586</v>
      </c>
      <c r="D238" t="s">
        <v>203</v>
      </c>
      <c r="E238" t="s">
        <v>381</v>
      </c>
      <c r="F238">
        <v>32.799999999999997</v>
      </c>
      <c r="G238" t="s">
        <v>30</v>
      </c>
      <c r="H238" t="s">
        <v>382</v>
      </c>
      <c r="I238" t="s">
        <v>360</v>
      </c>
      <c r="J238" t="s">
        <v>391</v>
      </c>
      <c r="K238">
        <v>2024</v>
      </c>
      <c r="L238" s="13" t="s">
        <v>822</v>
      </c>
      <c r="M238">
        <v>32.799999999999997</v>
      </c>
      <c r="N238" t="s">
        <v>377</v>
      </c>
      <c r="O238" t="s">
        <v>378</v>
      </c>
      <c r="P238" t="s">
        <v>26</v>
      </c>
    </row>
    <row r="239" spans="1:16">
      <c r="A239">
        <v>24</v>
      </c>
      <c r="B239" t="s">
        <v>929</v>
      </c>
      <c r="C239" t="s">
        <v>586</v>
      </c>
      <c r="D239" t="s">
        <v>233</v>
      </c>
      <c r="E239" t="s">
        <v>381</v>
      </c>
      <c r="F239">
        <v>4743</v>
      </c>
      <c r="G239" t="s">
        <v>231</v>
      </c>
      <c r="H239" t="s">
        <v>382</v>
      </c>
      <c r="I239" t="s">
        <v>335</v>
      </c>
      <c r="J239" t="s">
        <v>392</v>
      </c>
      <c r="K239">
        <v>2024</v>
      </c>
      <c r="L239" t="s">
        <v>233</v>
      </c>
      <c r="M239">
        <v>4743</v>
      </c>
      <c r="N239" t="s">
        <v>234</v>
      </c>
      <c r="O239" t="s">
        <v>393</v>
      </c>
      <c r="P239" t="s">
        <v>26</v>
      </c>
    </row>
    <row r="240" spans="1:16">
      <c r="A240">
        <v>24</v>
      </c>
      <c r="B240" t="s">
        <v>929</v>
      </c>
      <c r="C240" t="s">
        <v>586</v>
      </c>
      <c r="D240" t="s">
        <v>18</v>
      </c>
      <c r="E240" t="s">
        <v>394</v>
      </c>
      <c r="F240">
        <v>27073200</v>
      </c>
      <c r="G240" t="s">
        <v>358</v>
      </c>
      <c r="H240" t="s">
        <v>382</v>
      </c>
      <c r="I240" t="s">
        <v>360</v>
      </c>
      <c r="J240" t="s">
        <v>395</v>
      </c>
      <c r="K240">
        <v>2023</v>
      </c>
      <c r="L240" t="s">
        <v>23</v>
      </c>
      <c r="M240">
        <v>27073200</v>
      </c>
      <c r="N240" t="s">
        <v>362</v>
      </c>
      <c r="O240" t="s">
        <v>134</v>
      </c>
      <c r="P240" t="s">
        <v>26</v>
      </c>
    </row>
    <row r="241" spans="1:16">
      <c r="A241">
        <v>24</v>
      </c>
      <c r="B241" t="s">
        <v>929</v>
      </c>
      <c r="C241" t="s">
        <v>586</v>
      </c>
      <c r="D241" t="s">
        <v>27</v>
      </c>
      <c r="E241" t="s">
        <v>394</v>
      </c>
      <c r="F241">
        <v>11284200</v>
      </c>
      <c r="G241" t="s">
        <v>358</v>
      </c>
      <c r="H241" t="s">
        <v>382</v>
      </c>
      <c r="I241" t="s">
        <v>360</v>
      </c>
      <c r="J241" t="s">
        <v>396</v>
      </c>
      <c r="K241">
        <v>2023</v>
      </c>
      <c r="L241" t="s">
        <v>27</v>
      </c>
      <c r="M241">
        <v>11284200</v>
      </c>
      <c r="N241" t="s">
        <v>362</v>
      </c>
      <c r="O241" t="s">
        <v>134</v>
      </c>
      <c r="P241" t="s">
        <v>26</v>
      </c>
    </row>
    <row r="242" spans="1:16">
      <c r="A242">
        <v>24</v>
      </c>
      <c r="B242" t="s">
        <v>929</v>
      </c>
      <c r="C242" t="s">
        <v>586</v>
      </c>
      <c r="D242" t="s">
        <v>29</v>
      </c>
      <c r="E242" t="s">
        <v>394</v>
      </c>
      <c r="F242">
        <v>41.7</v>
      </c>
      <c r="G242" t="s">
        <v>30</v>
      </c>
      <c r="H242" t="s">
        <v>382</v>
      </c>
      <c r="I242" t="s">
        <v>360</v>
      </c>
      <c r="J242" t="s">
        <v>397</v>
      </c>
      <c r="K242">
        <v>2023</v>
      </c>
      <c r="L242" t="s">
        <v>29</v>
      </c>
      <c r="M242">
        <v>41.7</v>
      </c>
      <c r="N242" t="s">
        <v>365</v>
      </c>
      <c r="O242" t="s">
        <v>134</v>
      </c>
      <c r="P242" t="s">
        <v>26</v>
      </c>
    </row>
    <row r="243" spans="1:16">
      <c r="A243">
        <v>24</v>
      </c>
      <c r="B243" t="s">
        <v>929</v>
      </c>
      <c r="C243" t="s">
        <v>586</v>
      </c>
      <c r="D243" t="s">
        <v>35</v>
      </c>
      <c r="E243" t="s">
        <v>394</v>
      </c>
      <c r="F243">
        <v>2430900</v>
      </c>
      <c r="G243" t="s">
        <v>358</v>
      </c>
      <c r="H243" t="s">
        <v>382</v>
      </c>
      <c r="I243" t="s">
        <v>360</v>
      </c>
      <c r="J243" t="s">
        <v>398</v>
      </c>
      <c r="K243">
        <v>2023</v>
      </c>
      <c r="L243" t="s">
        <v>35</v>
      </c>
      <c r="M243">
        <v>2430900</v>
      </c>
      <c r="N243" t="s">
        <v>362</v>
      </c>
      <c r="O243" t="s">
        <v>134</v>
      </c>
      <c r="P243" t="s">
        <v>26</v>
      </c>
    </row>
    <row r="244" spans="1:16">
      <c r="A244">
        <v>24</v>
      </c>
      <c r="B244" t="s">
        <v>929</v>
      </c>
      <c r="C244" t="s">
        <v>586</v>
      </c>
      <c r="D244" t="s">
        <v>115</v>
      </c>
      <c r="E244" t="s">
        <v>394</v>
      </c>
      <c r="F244">
        <v>9</v>
      </c>
      <c r="G244" t="s">
        <v>30</v>
      </c>
      <c r="H244" t="s">
        <v>382</v>
      </c>
      <c r="I244" t="s">
        <v>360</v>
      </c>
      <c r="J244" t="s">
        <v>399</v>
      </c>
      <c r="K244">
        <v>2023</v>
      </c>
      <c r="L244" t="s">
        <v>115</v>
      </c>
      <c r="M244">
        <v>9</v>
      </c>
      <c r="N244" t="s">
        <v>368</v>
      </c>
      <c r="O244" t="s">
        <v>134</v>
      </c>
      <c r="P244" t="s">
        <v>26</v>
      </c>
    </row>
    <row r="245" spans="1:16">
      <c r="A245">
        <v>24</v>
      </c>
      <c r="B245" t="s">
        <v>929</v>
      </c>
      <c r="C245" t="s">
        <v>586</v>
      </c>
      <c r="D245" t="s">
        <v>369</v>
      </c>
      <c r="E245" t="s">
        <v>394</v>
      </c>
      <c r="F245">
        <v>1836600</v>
      </c>
      <c r="G245" t="s">
        <v>358</v>
      </c>
      <c r="H245" t="s">
        <v>382</v>
      </c>
      <c r="I245" t="s">
        <v>360</v>
      </c>
      <c r="J245" t="s">
        <v>400</v>
      </c>
      <c r="K245">
        <v>2023</v>
      </c>
      <c r="L245" t="s">
        <v>150</v>
      </c>
      <c r="M245">
        <v>1836600</v>
      </c>
      <c r="N245" t="s">
        <v>362</v>
      </c>
      <c r="O245" t="s">
        <v>134</v>
      </c>
      <c r="P245" t="s">
        <v>26</v>
      </c>
    </row>
    <row r="246" spans="1:16">
      <c r="A246">
        <v>24</v>
      </c>
      <c r="B246" t="s">
        <v>929</v>
      </c>
      <c r="C246" t="s">
        <v>586</v>
      </c>
      <c r="D246" t="s">
        <v>371</v>
      </c>
      <c r="E246" t="s">
        <v>394</v>
      </c>
      <c r="F246">
        <v>6.8</v>
      </c>
      <c r="G246" t="s">
        <v>30</v>
      </c>
      <c r="H246" t="s">
        <v>382</v>
      </c>
      <c r="I246" t="s">
        <v>360</v>
      </c>
      <c r="J246" t="s">
        <v>401</v>
      </c>
      <c r="K246">
        <v>2023</v>
      </c>
      <c r="L246" t="s">
        <v>36</v>
      </c>
      <c r="M246">
        <v>6.8</v>
      </c>
      <c r="N246" t="s">
        <v>373</v>
      </c>
      <c r="O246" t="s">
        <v>134</v>
      </c>
      <c r="P246" t="s">
        <v>26</v>
      </c>
    </row>
    <row r="247" spans="1:16">
      <c r="A247">
        <v>24</v>
      </c>
      <c r="B247" t="s">
        <v>929</v>
      </c>
      <c r="C247" t="s">
        <v>586</v>
      </c>
      <c r="D247" t="s">
        <v>374</v>
      </c>
      <c r="E247" t="s">
        <v>394</v>
      </c>
      <c r="F247">
        <v>149.5</v>
      </c>
      <c r="G247" t="s">
        <v>224</v>
      </c>
      <c r="H247" t="s">
        <v>382</v>
      </c>
      <c r="I247" t="s">
        <v>360</v>
      </c>
      <c r="J247" t="s">
        <v>402</v>
      </c>
      <c r="K247">
        <v>2023</v>
      </c>
      <c r="L247" t="s">
        <v>226</v>
      </c>
      <c r="M247">
        <v>149.5</v>
      </c>
      <c r="N247" t="s">
        <v>227</v>
      </c>
      <c r="O247" t="s">
        <v>134</v>
      </c>
      <c r="P247" t="s">
        <v>26</v>
      </c>
    </row>
    <row r="248" spans="1:16" ht="15">
      <c r="A248">
        <v>24</v>
      </c>
      <c r="B248" t="s">
        <v>929</v>
      </c>
      <c r="C248" t="s">
        <v>586</v>
      </c>
      <c r="D248" t="s">
        <v>203</v>
      </c>
      <c r="E248" t="s">
        <v>394</v>
      </c>
      <c r="F248">
        <v>33.799999999999997</v>
      </c>
      <c r="G248" t="s">
        <v>30</v>
      </c>
      <c r="H248" t="s">
        <v>382</v>
      </c>
      <c r="I248" t="s">
        <v>360</v>
      </c>
      <c r="J248" t="s">
        <v>403</v>
      </c>
      <c r="K248">
        <v>2023</v>
      </c>
      <c r="L248" s="13" t="s">
        <v>822</v>
      </c>
      <c r="M248">
        <v>33.799999999999997</v>
      </c>
      <c r="N248" t="s">
        <v>377</v>
      </c>
      <c r="O248" t="s">
        <v>378</v>
      </c>
      <c r="P248" t="s">
        <v>26</v>
      </c>
    </row>
    <row r="249" spans="1:16">
      <c r="A249">
        <v>24</v>
      </c>
      <c r="B249" t="s">
        <v>929</v>
      </c>
      <c r="C249" t="s">
        <v>586</v>
      </c>
      <c r="D249" t="s">
        <v>233</v>
      </c>
      <c r="E249" t="s">
        <v>394</v>
      </c>
      <c r="F249">
        <v>4367</v>
      </c>
      <c r="G249" t="s">
        <v>231</v>
      </c>
      <c r="H249" t="s">
        <v>382</v>
      </c>
      <c r="I249" t="s">
        <v>335</v>
      </c>
      <c r="J249" t="s">
        <v>404</v>
      </c>
      <c r="K249">
        <v>2023</v>
      </c>
      <c r="L249" t="s">
        <v>233</v>
      </c>
      <c r="M249">
        <v>4367</v>
      </c>
      <c r="N249" t="s">
        <v>234</v>
      </c>
      <c r="O249" t="s">
        <v>405</v>
      </c>
      <c r="P249" t="s">
        <v>26</v>
      </c>
    </row>
    <row r="250" spans="1:16">
      <c r="A250">
        <v>21</v>
      </c>
      <c r="B250" t="s">
        <v>936</v>
      </c>
      <c r="C250" t="s">
        <v>586</v>
      </c>
      <c r="D250" t="s">
        <v>18</v>
      </c>
      <c r="E250" t="s">
        <v>51</v>
      </c>
      <c r="F250">
        <v>14151100</v>
      </c>
      <c r="G250" t="s">
        <v>358</v>
      </c>
      <c r="H250" t="s">
        <v>407</v>
      </c>
      <c r="I250" t="s">
        <v>408</v>
      </c>
      <c r="J250" t="s">
        <v>409</v>
      </c>
      <c r="K250">
        <v>2025</v>
      </c>
      <c r="L250" t="s">
        <v>23</v>
      </c>
      <c r="M250">
        <v>14151100</v>
      </c>
      <c r="N250" t="s">
        <v>410</v>
      </c>
      <c r="O250" t="s">
        <v>134</v>
      </c>
      <c r="P250" t="s">
        <v>411</v>
      </c>
    </row>
    <row r="251" spans="1:16">
      <c r="A251">
        <v>21</v>
      </c>
      <c r="B251" t="s">
        <v>936</v>
      </c>
      <c r="C251" t="s">
        <v>586</v>
      </c>
      <c r="D251" t="s">
        <v>27</v>
      </c>
      <c r="E251" t="s">
        <v>51</v>
      </c>
      <c r="F251">
        <v>6063000</v>
      </c>
      <c r="G251" t="s">
        <v>358</v>
      </c>
      <c r="H251" t="s">
        <v>407</v>
      </c>
      <c r="I251" t="s">
        <v>408</v>
      </c>
      <c r="J251" t="s">
        <v>412</v>
      </c>
      <c r="K251">
        <v>2025</v>
      </c>
      <c r="L251" t="s">
        <v>27</v>
      </c>
      <c r="M251">
        <v>6063000</v>
      </c>
      <c r="N251" t="s">
        <v>410</v>
      </c>
      <c r="O251" t="s">
        <v>134</v>
      </c>
      <c r="P251" t="s">
        <v>411</v>
      </c>
    </row>
    <row r="252" spans="1:16">
      <c r="A252">
        <v>21</v>
      </c>
      <c r="B252" t="s">
        <v>936</v>
      </c>
      <c r="C252" t="s">
        <v>586</v>
      </c>
      <c r="D252" t="s">
        <v>29</v>
      </c>
      <c r="E252" t="s">
        <v>51</v>
      </c>
      <c r="F252">
        <v>42.8</v>
      </c>
      <c r="G252" t="s">
        <v>30</v>
      </c>
      <c r="H252" t="s">
        <v>407</v>
      </c>
      <c r="I252" t="s">
        <v>408</v>
      </c>
      <c r="J252" t="s">
        <v>413</v>
      </c>
      <c r="K252">
        <v>2025</v>
      </c>
      <c r="L252" t="s">
        <v>29</v>
      </c>
      <c r="M252">
        <v>42.8</v>
      </c>
      <c r="N252" t="s">
        <v>32</v>
      </c>
      <c r="O252" t="s">
        <v>134</v>
      </c>
      <c r="P252" t="s">
        <v>411</v>
      </c>
    </row>
    <row r="253" spans="1:16">
      <c r="A253">
        <v>21</v>
      </c>
      <c r="B253" t="s">
        <v>936</v>
      </c>
      <c r="C253" t="s">
        <v>586</v>
      </c>
      <c r="D253" t="s">
        <v>33</v>
      </c>
      <c r="E253" t="s">
        <v>51</v>
      </c>
      <c r="F253">
        <v>2018800</v>
      </c>
      <c r="G253" t="s">
        <v>358</v>
      </c>
      <c r="H253" t="s">
        <v>407</v>
      </c>
      <c r="I253" t="s">
        <v>408</v>
      </c>
      <c r="J253" t="s">
        <v>414</v>
      </c>
      <c r="K253">
        <v>2025</v>
      </c>
      <c r="L253" t="s">
        <v>35</v>
      </c>
      <c r="M253">
        <v>2018800</v>
      </c>
      <c r="N253" t="s">
        <v>410</v>
      </c>
      <c r="O253" t="s">
        <v>134</v>
      </c>
      <c r="P253" t="s">
        <v>411</v>
      </c>
    </row>
    <row r="254" spans="1:16">
      <c r="A254">
        <v>21</v>
      </c>
      <c r="B254" t="s">
        <v>936</v>
      </c>
      <c r="C254" t="s">
        <v>586</v>
      </c>
      <c r="D254" t="s">
        <v>415</v>
      </c>
      <c r="E254" t="s">
        <v>51</v>
      </c>
      <c r="F254">
        <v>14.3</v>
      </c>
      <c r="G254" t="s">
        <v>30</v>
      </c>
      <c r="H254" t="s">
        <v>407</v>
      </c>
      <c r="I254" t="s">
        <v>408</v>
      </c>
      <c r="J254" t="s">
        <v>416</v>
      </c>
      <c r="K254">
        <v>2025</v>
      </c>
      <c r="L254" t="s">
        <v>115</v>
      </c>
      <c r="M254">
        <v>14.3</v>
      </c>
      <c r="N254" t="s">
        <v>32</v>
      </c>
      <c r="O254" t="s">
        <v>134</v>
      </c>
      <c r="P254" t="s">
        <v>411</v>
      </c>
    </row>
    <row r="255" spans="1:16">
      <c r="A255">
        <v>21</v>
      </c>
      <c r="B255" t="s">
        <v>936</v>
      </c>
      <c r="C255" t="s">
        <v>586</v>
      </c>
      <c r="D255" t="s">
        <v>417</v>
      </c>
      <c r="E255" t="s">
        <v>51</v>
      </c>
      <c r="F255">
        <v>9.6999999999999993</v>
      </c>
      <c r="G255" t="s">
        <v>30</v>
      </c>
      <c r="H255" t="s">
        <v>407</v>
      </c>
      <c r="I255" t="s">
        <v>408</v>
      </c>
      <c r="J255" t="s">
        <v>418</v>
      </c>
      <c r="K255">
        <v>2025</v>
      </c>
      <c r="L255" t="s">
        <v>36</v>
      </c>
      <c r="M255">
        <v>9.6999999999999993</v>
      </c>
      <c r="N255" t="s">
        <v>32</v>
      </c>
      <c r="O255" t="s">
        <v>134</v>
      </c>
      <c r="P255" t="s">
        <v>411</v>
      </c>
    </row>
    <row r="256" spans="1:16">
      <c r="A256">
        <v>21</v>
      </c>
      <c r="B256" t="s">
        <v>936</v>
      </c>
      <c r="C256" t="s">
        <v>586</v>
      </c>
      <c r="D256" t="s">
        <v>18</v>
      </c>
      <c r="E256" t="s">
        <v>57</v>
      </c>
      <c r="F256">
        <v>13577200</v>
      </c>
      <c r="G256" t="s">
        <v>358</v>
      </c>
      <c r="H256" t="s">
        <v>407</v>
      </c>
      <c r="I256" t="s">
        <v>408</v>
      </c>
      <c r="J256" t="s">
        <v>419</v>
      </c>
      <c r="K256">
        <v>2024</v>
      </c>
      <c r="L256" t="s">
        <v>23</v>
      </c>
      <c r="M256">
        <v>13577200</v>
      </c>
      <c r="N256" t="s">
        <v>410</v>
      </c>
      <c r="O256" t="s">
        <v>134</v>
      </c>
      <c r="P256" t="s">
        <v>411</v>
      </c>
    </row>
    <row r="257" spans="1:16">
      <c r="A257">
        <v>21</v>
      </c>
      <c r="B257" t="s">
        <v>936</v>
      </c>
      <c r="C257" t="s">
        <v>586</v>
      </c>
      <c r="D257" t="s">
        <v>27</v>
      </c>
      <c r="E257" t="s">
        <v>57</v>
      </c>
      <c r="F257">
        <v>5865400</v>
      </c>
      <c r="G257" t="s">
        <v>358</v>
      </c>
      <c r="H257" t="s">
        <v>407</v>
      </c>
      <c r="I257" t="s">
        <v>408</v>
      </c>
      <c r="J257" t="s">
        <v>420</v>
      </c>
      <c r="K257">
        <v>2024</v>
      </c>
      <c r="L257" t="s">
        <v>27</v>
      </c>
      <c r="M257">
        <v>5865400</v>
      </c>
      <c r="N257" t="s">
        <v>410</v>
      </c>
      <c r="O257" t="s">
        <v>134</v>
      </c>
      <c r="P257" t="s">
        <v>411</v>
      </c>
    </row>
    <row r="258" spans="1:16">
      <c r="A258">
        <v>21</v>
      </c>
      <c r="B258" t="s">
        <v>936</v>
      </c>
      <c r="C258" t="s">
        <v>586</v>
      </c>
      <c r="D258" t="s">
        <v>29</v>
      </c>
      <c r="E258" t="s">
        <v>57</v>
      </c>
      <c r="F258">
        <v>43.2</v>
      </c>
      <c r="G258" t="s">
        <v>30</v>
      </c>
      <c r="H258" t="s">
        <v>407</v>
      </c>
      <c r="I258" t="s">
        <v>408</v>
      </c>
      <c r="J258" t="s">
        <v>421</v>
      </c>
      <c r="K258">
        <v>2024</v>
      </c>
      <c r="L258" t="s">
        <v>29</v>
      </c>
      <c r="M258">
        <v>43.2</v>
      </c>
      <c r="N258" t="s">
        <v>32</v>
      </c>
      <c r="O258" t="s">
        <v>134</v>
      </c>
      <c r="P258" t="s">
        <v>411</v>
      </c>
    </row>
    <row r="259" spans="1:16">
      <c r="A259">
        <v>21</v>
      </c>
      <c r="B259" t="s">
        <v>936</v>
      </c>
      <c r="C259" t="s">
        <v>586</v>
      </c>
      <c r="D259" t="s">
        <v>33</v>
      </c>
      <c r="E259" t="s">
        <v>57</v>
      </c>
      <c r="F259">
        <v>1965500</v>
      </c>
      <c r="G259" t="s">
        <v>358</v>
      </c>
      <c r="H259" t="s">
        <v>407</v>
      </c>
      <c r="I259" t="s">
        <v>408</v>
      </c>
      <c r="J259" t="s">
        <v>422</v>
      </c>
      <c r="K259">
        <v>2024</v>
      </c>
      <c r="L259" t="s">
        <v>35</v>
      </c>
      <c r="M259">
        <v>1965500</v>
      </c>
      <c r="N259" t="s">
        <v>410</v>
      </c>
      <c r="O259" t="s">
        <v>134</v>
      </c>
      <c r="P259" t="s">
        <v>411</v>
      </c>
    </row>
    <row r="260" spans="1:16">
      <c r="A260">
        <v>21</v>
      </c>
      <c r="B260" t="s">
        <v>936</v>
      </c>
      <c r="C260" t="s">
        <v>586</v>
      </c>
      <c r="D260" t="s">
        <v>415</v>
      </c>
      <c r="E260" t="s">
        <v>57</v>
      </c>
      <c r="F260">
        <v>14.5</v>
      </c>
      <c r="G260" t="s">
        <v>30</v>
      </c>
      <c r="H260" t="s">
        <v>407</v>
      </c>
      <c r="I260" t="s">
        <v>408</v>
      </c>
      <c r="J260" t="s">
        <v>423</v>
      </c>
      <c r="K260">
        <v>2024</v>
      </c>
      <c r="L260" t="s">
        <v>115</v>
      </c>
      <c r="M260">
        <v>14.5</v>
      </c>
      <c r="N260" t="s">
        <v>32</v>
      </c>
      <c r="O260" t="s">
        <v>134</v>
      </c>
      <c r="P260" t="s">
        <v>411</v>
      </c>
    </row>
    <row r="261" spans="1:16">
      <c r="A261">
        <v>21</v>
      </c>
      <c r="B261" t="s">
        <v>936</v>
      </c>
      <c r="C261" t="s">
        <v>586</v>
      </c>
      <c r="D261" t="s">
        <v>417</v>
      </c>
      <c r="E261" t="s">
        <v>57</v>
      </c>
      <c r="F261">
        <v>9.1</v>
      </c>
      <c r="G261" t="s">
        <v>30</v>
      </c>
      <c r="H261" t="s">
        <v>407</v>
      </c>
      <c r="I261" t="s">
        <v>408</v>
      </c>
      <c r="J261" t="s">
        <v>424</v>
      </c>
      <c r="K261">
        <v>2024</v>
      </c>
      <c r="L261" t="s">
        <v>36</v>
      </c>
      <c r="M261">
        <v>9.1</v>
      </c>
      <c r="N261" t="s">
        <v>32</v>
      </c>
      <c r="O261" t="s">
        <v>134</v>
      </c>
      <c r="P261" t="s">
        <v>411</v>
      </c>
    </row>
    <row r="262" spans="1:16">
      <c r="A262">
        <v>21</v>
      </c>
      <c r="B262" t="s">
        <v>936</v>
      </c>
      <c r="C262" t="s">
        <v>586</v>
      </c>
      <c r="D262" t="s">
        <v>18</v>
      </c>
      <c r="E262" t="s">
        <v>62</v>
      </c>
      <c r="F262">
        <v>12742900</v>
      </c>
      <c r="G262" t="s">
        <v>358</v>
      </c>
      <c r="H262" t="s">
        <v>407</v>
      </c>
      <c r="I262" t="s">
        <v>408</v>
      </c>
      <c r="J262" t="s">
        <v>425</v>
      </c>
      <c r="K262">
        <v>2023</v>
      </c>
      <c r="L262" t="s">
        <v>23</v>
      </c>
      <c r="M262">
        <v>12742900</v>
      </c>
      <c r="N262" t="s">
        <v>410</v>
      </c>
      <c r="O262" t="s">
        <v>134</v>
      </c>
      <c r="P262" t="s">
        <v>411</v>
      </c>
    </row>
    <row r="263" spans="1:16">
      <c r="A263">
        <v>21</v>
      </c>
      <c r="B263" t="s">
        <v>936</v>
      </c>
      <c r="C263" t="s">
        <v>586</v>
      </c>
      <c r="D263" t="s">
        <v>27</v>
      </c>
      <c r="E263" t="s">
        <v>62</v>
      </c>
      <c r="F263">
        <v>5331200</v>
      </c>
      <c r="G263" t="s">
        <v>358</v>
      </c>
      <c r="H263" t="s">
        <v>407</v>
      </c>
      <c r="I263" t="s">
        <v>408</v>
      </c>
      <c r="J263" t="s">
        <v>426</v>
      </c>
      <c r="K263">
        <v>2023</v>
      </c>
      <c r="L263" t="s">
        <v>27</v>
      </c>
      <c r="M263">
        <v>5331200</v>
      </c>
      <c r="N263" t="s">
        <v>410</v>
      </c>
      <c r="O263" t="s">
        <v>134</v>
      </c>
      <c r="P263" t="s">
        <v>411</v>
      </c>
    </row>
    <row r="264" spans="1:16">
      <c r="A264">
        <v>21</v>
      </c>
      <c r="B264" t="s">
        <v>936</v>
      </c>
      <c r="C264" t="s">
        <v>586</v>
      </c>
      <c r="D264" t="s">
        <v>29</v>
      </c>
      <c r="E264" t="s">
        <v>62</v>
      </c>
      <c r="F264">
        <v>41.8</v>
      </c>
      <c r="G264" t="s">
        <v>30</v>
      </c>
      <c r="H264" t="s">
        <v>407</v>
      </c>
      <c r="I264" t="s">
        <v>408</v>
      </c>
      <c r="J264" t="s">
        <v>385</v>
      </c>
      <c r="K264">
        <v>2023</v>
      </c>
      <c r="L264" t="s">
        <v>29</v>
      </c>
      <c r="M264">
        <v>41.8</v>
      </c>
      <c r="N264" t="s">
        <v>32</v>
      </c>
      <c r="O264" t="s">
        <v>134</v>
      </c>
      <c r="P264" t="s">
        <v>411</v>
      </c>
    </row>
    <row r="265" spans="1:16">
      <c r="A265">
        <v>21</v>
      </c>
      <c r="B265" t="s">
        <v>936</v>
      </c>
      <c r="C265" t="s">
        <v>586</v>
      </c>
      <c r="D265" t="s">
        <v>33</v>
      </c>
      <c r="E265" t="s">
        <v>62</v>
      </c>
      <c r="F265">
        <v>1798000</v>
      </c>
      <c r="G265" t="s">
        <v>358</v>
      </c>
      <c r="H265" t="s">
        <v>407</v>
      </c>
      <c r="I265" t="s">
        <v>408</v>
      </c>
      <c r="J265" t="s">
        <v>427</v>
      </c>
      <c r="K265">
        <v>2023</v>
      </c>
      <c r="L265" t="s">
        <v>35</v>
      </c>
      <c r="M265">
        <v>1798000</v>
      </c>
      <c r="N265" t="s">
        <v>410</v>
      </c>
      <c r="O265" t="s">
        <v>134</v>
      </c>
      <c r="P265" t="s">
        <v>411</v>
      </c>
    </row>
    <row r="266" spans="1:16">
      <c r="A266">
        <v>21</v>
      </c>
      <c r="B266" t="s">
        <v>936</v>
      </c>
      <c r="C266" t="s">
        <v>586</v>
      </c>
      <c r="D266" t="s">
        <v>415</v>
      </c>
      <c r="E266" t="s">
        <v>62</v>
      </c>
      <c r="F266">
        <v>14.1</v>
      </c>
      <c r="G266" t="s">
        <v>30</v>
      </c>
      <c r="H266" t="s">
        <v>407</v>
      </c>
      <c r="I266" t="s">
        <v>408</v>
      </c>
      <c r="J266" t="s">
        <v>428</v>
      </c>
      <c r="K266">
        <v>2023</v>
      </c>
      <c r="L266" t="s">
        <v>115</v>
      </c>
      <c r="M266">
        <v>14.1</v>
      </c>
      <c r="N266" t="s">
        <v>32</v>
      </c>
      <c r="O266" t="s">
        <v>134</v>
      </c>
      <c r="P266" t="s">
        <v>411</v>
      </c>
    </row>
    <row r="267" spans="1:16">
      <c r="A267">
        <v>21</v>
      </c>
      <c r="B267" t="s">
        <v>936</v>
      </c>
      <c r="C267" t="s">
        <v>586</v>
      </c>
      <c r="D267" t="s">
        <v>417</v>
      </c>
      <c r="E267" t="s">
        <v>62</v>
      </c>
      <c r="F267">
        <v>8.1</v>
      </c>
      <c r="G267" t="s">
        <v>30</v>
      </c>
      <c r="H267" t="s">
        <v>407</v>
      </c>
      <c r="I267" t="s">
        <v>408</v>
      </c>
      <c r="J267" t="s">
        <v>429</v>
      </c>
      <c r="K267">
        <v>2023</v>
      </c>
      <c r="L267" t="s">
        <v>36</v>
      </c>
      <c r="M267">
        <v>8.1</v>
      </c>
      <c r="N267" t="s">
        <v>32</v>
      </c>
      <c r="O267" t="s">
        <v>134</v>
      </c>
      <c r="P267" t="s">
        <v>411</v>
      </c>
    </row>
    <row r="268" spans="1:16">
      <c r="A268">
        <v>10</v>
      </c>
      <c r="B268" t="s">
        <v>912</v>
      </c>
      <c r="C268" t="s">
        <v>17</v>
      </c>
      <c r="D268" t="s">
        <v>102</v>
      </c>
      <c r="E268" t="s">
        <v>51</v>
      </c>
      <c r="F268">
        <v>3397351</v>
      </c>
      <c r="G268" t="s">
        <v>130</v>
      </c>
      <c r="H268" t="s">
        <v>431</v>
      </c>
      <c r="I268" t="s">
        <v>432</v>
      </c>
      <c r="J268" t="s">
        <v>433</v>
      </c>
      <c r="K268">
        <v>2025</v>
      </c>
      <c r="L268" t="s">
        <v>23</v>
      </c>
      <c r="M268">
        <v>24460927.199999999</v>
      </c>
      <c r="N268" t="s">
        <v>133</v>
      </c>
      <c r="O268" t="s">
        <v>134</v>
      </c>
      <c r="P268" t="s">
        <v>411</v>
      </c>
    </row>
    <row r="269" spans="1:16">
      <c r="A269">
        <v>10</v>
      </c>
      <c r="B269" t="s">
        <v>912</v>
      </c>
      <c r="C269" t="s">
        <v>17</v>
      </c>
      <c r="D269" t="s">
        <v>109</v>
      </c>
      <c r="E269" t="s">
        <v>51</v>
      </c>
      <c r="F269">
        <v>50.2</v>
      </c>
      <c r="G269" t="s">
        <v>30</v>
      </c>
      <c r="H269" t="s">
        <v>431</v>
      </c>
      <c r="I269" t="s">
        <v>432</v>
      </c>
      <c r="J269" t="s">
        <v>271</v>
      </c>
      <c r="K269">
        <v>2025</v>
      </c>
      <c r="L269" t="s">
        <v>29</v>
      </c>
      <c r="M269">
        <v>50.2</v>
      </c>
      <c r="N269" t="s">
        <v>32</v>
      </c>
      <c r="O269" t="s">
        <v>134</v>
      </c>
      <c r="P269" t="s">
        <v>411</v>
      </c>
    </row>
    <row r="270" spans="1:16">
      <c r="A270">
        <v>10</v>
      </c>
      <c r="B270" t="s">
        <v>912</v>
      </c>
      <c r="C270" t="s">
        <v>17</v>
      </c>
      <c r="D270" t="s">
        <v>148</v>
      </c>
      <c r="E270" t="s">
        <v>51</v>
      </c>
      <c r="F270">
        <v>207039</v>
      </c>
      <c r="G270" t="s">
        <v>130</v>
      </c>
      <c r="H270" t="s">
        <v>431</v>
      </c>
      <c r="I270" t="s">
        <v>432</v>
      </c>
      <c r="J270" t="s">
        <v>434</v>
      </c>
      <c r="K270">
        <v>2025</v>
      </c>
      <c r="L270" t="s">
        <v>35</v>
      </c>
      <c r="M270">
        <v>1490680.8</v>
      </c>
      <c r="N270" t="s">
        <v>133</v>
      </c>
      <c r="O270" t="s">
        <v>134</v>
      </c>
      <c r="P270" t="s">
        <v>411</v>
      </c>
    </row>
    <row r="271" spans="1:16">
      <c r="A271">
        <v>10</v>
      </c>
      <c r="B271" t="s">
        <v>912</v>
      </c>
      <c r="C271" t="s">
        <v>17</v>
      </c>
      <c r="D271" t="s">
        <v>149</v>
      </c>
      <c r="E271" t="s">
        <v>51</v>
      </c>
      <c r="F271">
        <v>134000</v>
      </c>
      <c r="G271" t="s">
        <v>130</v>
      </c>
      <c r="H271" t="s">
        <v>431</v>
      </c>
      <c r="I271" t="s">
        <v>432</v>
      </c>
      <c r="J271" t="s">
        <v>435</v>
      </c>
      <c r="K271">
        <v>2025</v>
      </c>
      <c r="L271" t="s">
        <v>150</v>
      </c>
      <c r="M271">
        <v>964800</v>
      </c>
      <c r="N271" t="s">
        <v>133</v>
      </c>
      <c r="O271" t="s">
        <v>134</v>
      </c>
      <c r="P271" t="s">
        <v>411</v>
      </c>
    </row>
    <row r="272" spans="1:16">
      <c r="A272">
        <v>10</v>
      </c>
      <c r="B272" t="s">
        <v>912</v>
      </c>
      <c r="C272" t="s">
        <v>17</v>
      </c>
      <c r="D272" t="s">
        <v>113</v>
      </c>
      <c r="E272" t="s">
        <v>51</v>
      </c>
      <c r="F272">
        <v>6.1</v>
      </c>
      <c r="G272" t="s">
        <v>30</v>
      </c>
      <c r="H272" t="s">
        <v>431</v>
      </c>
      <c r="I272" t="s">
        <v>432</v>
      </c>
      <c r="J272" t="s">
        <v>436</v>
      </c>
      <c r="K272">
        <v>2025</v>
      </c>
      <c r="L272" t="s">
        <v>115</v>
      </c>
      <c r="M272">
        <v>6.1</v>
      </c>
      <c r="N272" t="s">
        <v>32</v>
      </c>
      <c r="O272" t="s">
        <v>134</v>
      </c>
      <c r="P272" t="s">
        <v>411</v>
      </c>
    </row>
    <row r="273" spans="1:17">
      <c r="A273">
        <v>10</v>
      </c>
      <c r="B273" t="s">
        <v>912</v>
      </c>
      <c r="C273" t="s">
        <v>17</v>
      </c>
      <c r="D273" t="s">
        <v>151</v>
      </c>
      <c r="E273" t="s">
        <v>51</v>
      </c>
      <c r="F273">
        <v>3.9</v>
      </c>
      <c r="G273" t="s">
        <v>30</v>
      </c>
      <c r="H273" t="s">
        <v>431</v>
      </c>
      <c r="I273" t="s">
        <v>432</v>
      </c>
      <c r="J273" t="s">
        <v>437</v>
      </c>
      <c r="K273">
        <v>2025</v>
      </c>
      <c r="L273" t="s">
        <v>36</v>
      </c>
      <c r="M273">
        <v>3.9</v>
      </c>
      <c r="N273" t="s">
        <v>32</v>
      </c>
      <c r="O273" t="s">
        <v>134</v>
      </c>
      <c r="P273" t="s">
        <v>411</v>
      </c>
    </row>
    <row r="274" spans="1:17">
      <c r="A274">
        <v>10</v>
      </c>
      <c r="B274" t="s">
        <v>912</v>
      </c>
      <c r="C274" t="s">
        <v>17</v>
      </c>
      <c r="D274" t="s">
        <v>102</v>
      </c>
      <c r="E274" t="s">
        <v>57</v>
      </c>
      <c r="F274">
        <v>3368582</v>
      </c>
      <c r="G274" t="s">
        <v>130</v>
      </c>
      <c r="H274" t="s">
        <v>431</v>
      </c>
      <c r="I274" t="s">
        <v>432</v>
      </c>
      <c r="J274" t="s">
        <v>438</v>
      </c>
      <c r="K274">
        <v>2024</v>
      </c>
      <c r="L274" t="s">
        <v>23</v>
      </c>
      <c r="M274">
        <v>24253790.399999999</v>
      </c>
      <c r="N274" t="s">
        <v>133</v>
      </c>
      <c r="O274" t="s">
        <v>134</v>
      </c>
      <c r="P274" t="s">
        <v>411</v>
      </c>
    </row>
    <row r="275" spans="1:17">
      <c r="A275">
        <v>10</v>
      </c>
      <c r="B275" t="s">
        <v>912</v>
      </c>
      <c r="C275" t="s">
        <v>17</v>
      </c>
      <c r="D275" t="s">
        <v>109</v>
      </c>
      <c r="E275" t="s">
        <v>57</v>
      </c>
      <c r="F275">
        <v>50</v>
      </c>
      <c r="G275" t="s">
        <v>30</v>
      </c>
      <c r="H275" t="s">
        <v>431</v>
      </c>
      <c r="I275" t="s">
        <v>432</v>
      </c>
      <c r="J275" t="s">
        <v>145</v>
      </c>
      <c r="K275">
        <v>2024</v>
      </c>
      <c r="L275" t="s">
        <v>29</v>
      </c>
      <c r="M275">
        <v>50</v>
      </c>
      <c r="N275" t="s">
        <v>32</v>
      </c>
      <c r="O275" t="s">
        <v>134</v>
      </c>
      <c r="P275" t="s">
        <v>411</v>
      </c>
    </row>
    <row r="276" spans="1:17">
      <c r="A276">
        <v>10</v>
      </c>
      <c r="B276" t="s">
        <v>912</v>
      </c>
      <c r="C276" t="s">
        <v>17</v>
      </c>
      <c r="D276" t="s">
        <v>148</v>
      </c>
      <c r="E276" t="s">
        <v>57</v>
      </c>
      <c r="F276">
        <v>190000</v>
      </c>
      <c r="G276" t="s">
        <v>130</v>
      </c>
      <c r="H276" t="s">
        <v>431</v>
      </c>
      <c r="I276" t="s">
        <v>432</v>
      </c>
      <c r="J276" t="s">
        <v>439</v>
      </c>
      <c r="K276">
        <v>2024</v>
      </c>
      <c r="L276" t="s">
        <v>35</v>
      </c>
      <c r="M276">
        <v>1368000</v>
      </c>
      <c r="N276" t="s">
        <v>133</v>
      </c>
      <c r="O276" t="s">
        <v>134</v>
      </c>
      <c r="P276" t="s">
        <v>411</v>
      </c>
    </row>
    <row r="277" spans="1:17">
      <c r="A277">
        <v>10</v>
      </c>
      <c r="B277" t="s">
        <v>912</v>
      </c>
      <c r="C277" t="s">
        <v>17</v>
      </c>
      <c r="D277" t="s">
        <v>149</v>
      </c>
      <c r="E277" t="s">
        <v>57</v>
      </c>
      <c r="F277">
        <v>120000</v>
      </c>
      <c r="G277" t="s">
        <v>130</v>
      </c>
      <c r="H277" t="s">
        <v>431</v>
      </c>
      <c r="I277" t="s">
        <v>432</v>
      </c>
      <c r="J277" t="s">
        <v>440</v>
      </c>
      <c r="K277">
        <v>2024</v>
      </c>
      <c r="L277" t="s">
        <v>150</v>
      </c>
      <c r="M277">
        <v>864000</v>
      </c>
      <c r="N277" t="s">
        <v>133</v>
      </c>
      <c r="O277" t="s">
        <v>134</v>
      </c>
      <c r="P277" t="s">
        <v>411</v>
      </c>
    </row>
    <row r="278" spans="1:17">
      <c r="A278">
        <v>10</v>
      </c>
      <c r="B278" t="s">
        <v>912</v>
      </c>
      <c r="C278" t="s">
        <v>17</v>
      </c>
      <c r="D278" t="s">
        <v>113</v>
      </c>
      <c r="E278" t="s">
        <v>57</v>
      </c>
      <c r="F278">
        <v>5.6</v>
      </c>
      <c r="G278" t="s">
        <v>30</v>
      </c>
      <c r="H278" t="s">
        <v>431</v>
      </c>
      <c r="I278" t="s">
        <v>432</v>
      </c>
      <c r="J278" t="s">
        <v>441</v>
      </c>
      <c r="K278">
        <v>2024</v>
      </c>
      <c r="L278" t="s">
        <v>115</v>
      </c>
      <c r="M278">
        <v>5.6</v>
      </c>
      <c r="N278" t="s">
        <v>32</v>
      </c>
      <c r="O278" t="s">
        <v>134</v>
      </c>
      <c r="P278" t="s">
        <v>411</v>
      </c>
    </row>
    <row r="279" spans="1:17">
      <c r="A279">
        <v>10</v>
      </c>
      <c r="B279" t="s">
        <v>912</v>
      </c>
      <c r="C279" t="s">
        <v>17</v>
      </c>
      <c r="D279" t="s">
        <v>151</v>
      </c>
      <c r="E279" t="s">
        <v>57</v>
      </c>
      <c r="F279">
        <v>3.6</v>
      </c>
      <c r="G279" t="s">
        <v>30</v>
      </c>
      <c r="H279" t="s">
        <v>431</v>
      </c>
      <c r="I279" t="s">
        <v>432</v>
      </c>
      <c r="J279" t="s">
        <v>442</v>
      </c>
      <c r="K279">
        <v>2024</v>
      </c>
      <c r="L279" t="s">
        <v>36</v>
      </c>
      <c r="M279">
        <v>3.6</v>
      </c>
      <c r="N279" t="s">
        <v>32</v>
      </c>
      <c r="O279" t="s">
        <v>134</v>
      </c>
      <c r="P279" t="s">
        <v>411</v>
      </c>
    </row>
    <row r="280" spans="1:17">
      <c r="A280">
        <v>10</v>
      </c>
      <c r="B280" t="s">
        <v>912</v>
      </c>
      <c r="C280" t="s">
        <v>17</v>
      </c>
      <c r="D280" t="s">
        <v>102</v>
      </c>
      <c r="E280" t="s">
        <v>62</v>
      </c>
      <c r="F280">
        <v>3148989</v>
      </c>
      <c r="G280" t="s">
        <v>130</v>
      </c>
      <c r="H280" t="s">
        <v>431</v>
      </c>
      <c r="I280" t="s">
        <v>432</v>
      </c>
      <c r="J280" t="s">
        <v>443</v>
      </c>
      <c r="K280">
        <v>2023</v>
      </c>
      <c r="L280" t="s">
        <v>23</v>
      </c>
      <c r="M280">
        <v>22672720.800000001</v>
      </c>
      <c r="N280" t="s">
        <v>133</v>
      </c>
      <c r="O280" t="s">
        <v>134</v>
      </c>
      <c r="P280" t="s">
        <v>411</v>
      </c>
    </row>
    <row r="281" spans="1:17">
      <c r="A281">
        <v>10</v>
      </c>
      <c r="B281" t="s">
        <v>912</v>
      </c>
      <c r="C281" t="s">
        <v>17</v>
      </c>
      <c r="D281" t="s">
        <v>109</v>
      </c>
      <c r="E281" t="s">
        <v>62</v>
      </c>
      <c r="F281">
        <v>49.5</v>
      </c>
      <c r="G281" t="s">
        <v>30</v>
      </c>
      <c r="H281" t="s">
        <v>431</v>
      </c>
      <c r="I281" t="s">
        <v>432</v>
      </c>
      <c r="J281" t="s">
        <v>444</v>
      </c>
      <c r="K281">
        <v>2023</v>
      </c>
      <c r="L281" t="s">
        <v>29</v>
      </c>
      <c r="M281">
        <v>49.5</v>
      </c>
      <c r="N281" t="s">
        <v>32</v>
      </c>
      <c r="O281" t="s">
        <v>134</v>
      </c>
      <c r="P281" t="s">
        <v>411</v>
      </c>
    </row>
    <row r="282" spans="1:17">
      <c r="A282">
        <v>10</v>
      </c>
      <c r="B282" t="s">
        <v>912</v>
      </c>
      <c r="C282" t="s">
        <v>17</v>
      </c>
      <c r="D282" t="s">
        <v>148</v>
      </c>
      <c r="E282" t="s">
        <v>62</v>
      </c>
      <c r="F282">
        <v>170000</v>
      </c>
      <c r="G282" t="s">
        <v>130</v>
      </c>
      <c r="H282" t="s">
        <v>431</v>
      </c>
      <c r="I282" t="s">
        <v>432</v>
      </c>
      <c r="J282" t="s">
        <v>445</v>
      </c>
      <c r="K282">
        <v>2023</v>
      </c>
      <c r="L282" t="s">
        <v>35</v>
      </c>
      <c r="M282">
        <v>1224000</v>
      </c>
      <c r="N282" t="s">
        <v>133</v>
      </c>
      <c r="O282" t="s">
        <v>134</v>
      </c>
      <c r="P282" t="s">
        <v>411</v>
      </c>
    </row>
    <row r="283" spans="1:17">
      <c r="A283">
        <v>10</v>
      </c>
      <c r="B283" t="s">
        <v>912</v>
      </c>
      <c r="C283" t="s">
        <v>17</v>
      </c>
      <c r="D283" t="s">
        <v>149</v>
      </c>
      <c r="E283" t="s">
        <v>62</v>
      </c>
      <c r="F283">
        <v>100000</v>
      </c>
      <c r="G283" t="s">
        <v>130</v>
      </c>
      <c r="H283" t="s">
        <v>431</v>
      </c>
      <c r="I283" t="s">
        <v>432</v>
      </c>
      <c r="J283" t="s">
        <v>446</v>
      </c>
      <c r="K283">
        <v>2023</v>
      </c>
      <c r="L283" t="s">
        <v>150</v>
      </c>
      <c r="M283">
        <v>720000</v>
      </c>
      <c r="N283" t="s">
        <v>133</v>
      </c>
      <c r="O283" t="s">
        <v>134</v>
      </c>
      <c r="P283" t="s">
        <v>411</v>
      </c>
    </row>
    <row r="284" spans="1:17">
      <c r="A284">
        <v>10</v>
      </c>
      <c r="B284" t="s">
        <v>912</v>
      </c>
      <c r="C284" t="s">
        <v>17</v>
      </c>
      <c r="D284" t="s">
        <v>113</v>
      </c>
      <c r="E284" t="s">
        <v>62</v>
      </c>
      <c r="F284">
        <v>5.4</v>
      </c>
      <c r="G284" t="s">
        <v>30</v>
      </c>
      <c r="H284" t="s">
        <v>431</v>
      </c>
      <c r="I284" t="s">
        <v>432</v>
      </c>
      <c r="J284" t="s">
        <v>447</v>
      </c>
      <c r="K284">
        <v>2023</v>
      </c>
      <c r="L284" t="s">
        <v>115</v>
      </c>
      <c r="M284">
        <v>5.4</v>
      </c>
      <c r="N284" t="s">
        <v>32</v>
      </c>
      <c r="O284" t="s">
        <v>134</v>
      </c>
      <c r="P284" t="s">
        <v>411</v>
      </c>
    </row>
    <row r="285" spans="1:17">
      <c r="A285">
        <v>10</v>
      </c>
      <c r="B285" t="s">
        <v>912</v>
      </c>
      <c r="C285" t="s">
        <v>17</v>
      </c>
      <c r="D285" t="s">
        <v>151</v>
      </c>
      <c r="E285" t="s">
        <v>62</v>
      </c>
      <c r="F285">
        <v>3.2</v>
      </c>
      <c r="G285" t="s">
        <v>30</v>
      </c>
      <c r="H285" t="s">
        <v>431</v>
      </c>
      <c r="I285" t="s">
        <v>432</v>
      </c>
      <c r="J285" t="s">
        <v>448</v>
      </c>
      <c r="K285">
        <v>2023</v>
      </c>
      <c r="L285" t="s">
        <v>36</v>
      </c>
      <c r="M285">
        <v>3.2</v>
      </c>
      <c r="N285" t="s">
        <v>32</v>
      </c>
      <c r="O285" t="s">
        <v>134</v>
      </c>
      <c r="P285" t="s">
        <v>411</v>
      </c>
    </row>
    <row r="286" spans="1:17">
      <c r="A286">
        <v>8</v>
      </c>
      <c r="B286" t="s">
        <v>449</v>
      </c>
      <c r="C286" t="s">
        <v>17</v>
      </c>
      <c r="D286" t="s">
        <v>165</v>
      </c>
      <c r="E286" t="s">
        <v>51</v>
      </c>
      <c r="F286">
        <v>6566.2</v>
      </c>
      <c r="G286" s="9" t="s">
        <v>248</v>
      </c>
      <c r="H286" t="s">
        <v>450</v>
      </c>
      <c r="I286" t="s">
        <v>451</v>
      </c>
      <c r="J286" t="s">
        <v>452</v>
      </c>
      <c r="K286">
        <v>2025</v>
      </c>
      <c r="L286" t="s">
        <v>23</v>
      </c>
      <c r="M286" s="2">
        <v>47276640</v>
      </c>
      <c r="N286" t="s">
        <v>133</v>
      </c>
      <c r="O286" t="s">
        <v>134</v>
      </c>
      <c r="P286" t="s">
        <v>411</v>
      </c>
      <c r="Q286" t="s">
        <v>624</v>
      </c>
    </row>
    <row r="287" spans="1:17">
      <c r="A287">
        <v>8</v>
      </c>
      <c r="B287" t="s">
        <v>449</v>
      </c>
      <c r="C287" t="s">
        <v>17</v>
      </c>
      <c r="D287" t="s">
        <v>109</v>
      </c>
      <c r="E287" t="s">
        <v>51</v>
      </c>
      <c r="F287">
        <f>F471/F286*100</f>
        <v>57.633029758459998</v>
      </c>
      <c r="G287" t="s">
        <v>30</v>
      </c>
      <c r="H287" t="s">
        <v>450</v>
      </c>
      <c r="I287" t="s">
        <v>451</v>
      </c>
      <c r="J287" t="s">
        <v>453</v>
      </c>
      <c r="K287">
        <v>2025</v>
      </c>
      <c r="L287" t="s">
        <v>29</v>
      </c>
      <c r="M287" s="2">
        <f>F287</f>
        <v>57.633029758459998</v>
      </c>
      <c r="N287" t="s">
        <v>32</v>
      </c>
      <c r="O287" t="s">
        <v>134</v>
      </c>
      <c r="P287" t="s">
        <v>411</v>
      </c>
      <c r="Q287" t="s">
        <v>624</v>
      </c>
    </row>
    <row r="288" spans="1:17">
      <c r="A288">
        <v>8</v>
      </c>
      <c r="B288" t="s">
        <v>449</v>
      </c>
      <c r="C288" t="s">
        <v>17</v>
      </c>
      <c r="D288" t="s">
        <v>165</v>
      </c>
      <c r="E288" t="s">
        <v>57</v>
      </c>
      <c r="F288">
        <v>5183.3</v>
      </c>
      <c r="G288" s="9" t="s">
        <v>248</v>
      </c>
      <c r="H288" t="s">
        <v>450</v>
      </c>
      <c r="I288" t="s">
        <v>451</v>
      </c>
      <c r="J288" t="s">
        <v>454</v>
      </c>
      <c r="K288">
        <v>2024</v>
      </c>
      <c r="L288" t="s">
        <v>23</v>
      </c>
      <c r="M288" s="2">
        <v>37319760</v>
      </c>
      <c r="N288" t="s">
        <v>133</v>
      </c>
      <c r="O288" t="s">
        <v>134</v>
      </c>
      <c r="P288" t="s">
        <v>411</v>
      </c>
      <c r="Q288" t="s">
        <v>624</v>
      </c>
    </row>
    <row r="289" spans="1:17">
      <c r="A289">
        <v>8</v>
      </c>
      <c r="B289" t="s">
        <v>449</v>
      </c>
      <c r="C289" t="s">
        <v>17</v>
      </c>
      <c r="D289" t="s">
        <v>109</v>
      </c>
      <c r="E289" t="s">
        <v>57</v>
      </c>
      <c r="F289">
        <f>F464/F288*100</f>
        <v>55.404857909054087</v>
      </c>
      <c r="G289" t="s">
        <v>30</v>
      </c>
      <c r="H289" t="s">
        <v>450</v>
      </c>
      <c r="I289" t="s">
        <v>451</v>
      </c>
      <c r="J289" t="s">
        <v>455</v>
      </c>
      <c r="K289">
        <v>2024</v>
      </c>
      <c r="L289" t="s">
        <v>29</v>
      </c>
      <c r="M289" s="2">
        <f>F289</f>
        <v>55.404857909054087</v>
      </c>
      <c r="N289" t="s">
        <v>32</v>
      </c>
      <c r="O289" t="s">
        <v>134</v>
      </c>
      <c r="P289" t="s">
        <v>411</v>
      </c>
      <c r="Q289" t="s">
        <v>624</v>
      </c>
    </row>
    <row r="290" spans="1:17">
      <c r="A290">
        <v>8</v>
      </c>
      <c r="B290" t="s">
        <v>449</v>
      </c>
      <c r="C290" t="s">
        <v>17</v>
      </c>
      <c r="D290" t="s">
        <v>165</v>
      </c>
      <c r="E290" t="s">
        <v>62</v>
      </c>
      <c r="F290">
        <v>4400.3999999999996</v>
      </c>
      <c r="G290" s="9" t="s">
        <v>248</v>
      </c>
      <c r="H290" t="s">
        <v>450</v>
      </c>
      <c r="I290" t="s">
        <v>451</v>
      </c>
      <c r="J290" t="s">
        <v>456</v>
      </c>
      <c r="K290">
        <v>2023</v>
      </c>
      <c r="L290" t="s">
        <v>23</v>
      </c>
      <c r="M290" s="2">
        <v>32400000</v>
      </c>
      <c r="N290" t="s">
        <v>133</v>
      </c>
      <c r="O290" t="s">
        <v>134</v>
      </c>
      <c r="P290" t="s">
        <v>411</v>
      </c>
      <c r="Q290" t="s">
        <v>624</v>
      </c>
    </row>
    <row r="291" spans="1:17">
      <c r="A291">
        <v>8</v>
      </c>
      <c r="B291" t="s">
        <v>449</v>
      </c>
      <c r="C291" t="s">
        <v>17</v>
      </c>
      <c r="D291" t="s">
        <v>109</v>
      </c>
      <c r="E291" t="s">
        <v>62</v>
      </c>
      <c r="F291">
        <f>F457/F290*100</f>
        <v>52.452049813653311</v>
      </c>
      <c r="G291" t="s">
        <v>30</v>
      </c>
      <c r="H291" t="s">
        <v>450</v>
      </c>
      <c r="I291" t="s">
        <v>451</v>
      </c>
      <c r="J291" t="s">
        <v>163</v>
      </c>
      <c r="K291">
        <v>2023</v>
      </c>
      <c r="L291" t="s">
        <v>29</v>
      </c>
      <c r="M291" s="2">
        <f>F291</f>
        <v>52.452049813653311</v>
      </c>
      <c r="N291" t="s">
        <v>32</v>
      </c>
      <c r="O291" t="s">
        <v>134</v>
      </c>
      <c r="P291" t="s">
        <v>411</v>
      </c>
      <c r="Q291" t="s">
        <v>624</v>
      </c>
    </row>
    <row r="292" spans="1:17">
      <c r="A292">
        <v>2</v>
      </c>
      <c r="B292" t="s">
        <v>129</v>
      </c>
      <c r="C292" t="s">
        <v>457</v>
      </c>
      <c r="D292" t="s">
        <v>458</v>
      </c>
      <c r="E292" t="s">
        <v>57</v>
      </c>
      <c r="F292">
        <v>1218186</v>
      </c>
      <c r="G292" t="s">
        <v>130</v>
      </c>
      <c r="H292" t="s">
        <v>459</v>
      </c>
      <c r="I292" t="s">
        <v>460</v>
      </c>
      <c r="J292" t="s">
        <v>461</v>
      </c>
      <c r="K292">
        <v>2024</v>
      </c>
      <c r="L292" t="s">
        <v>23</v>
      </c>
      <c r="M292" s="2">
        <v>8770939.2000000011</v>
      </c>
      <c r="N292" t="s">
        <v>133</v>
      </c>
      <c r="O292" t="s">
        <v>457</v>
      </c>
      <c r="P292" t="s">
        <v>411</v>
      </c>
    </row>
    <row r="293" spans="1:17">
      <c r="A293">
        <v>2</v>
      </c>
      <c r="B293" t="s">
        <v>129</v>
      </c>
      <c r="C293" t="s">
        <v>457</v>
      </c>
      <c r="D293" t="s">
        <v>458</v>
      </c>
      <c r="E293" t="s">
        <v>62</v>
      </c>
      <c r="F293">
        <v>1228630</v>
      </c>
      <c r="G293" t="s">
        <v>130</v>
      </c>
      <c r="H293" t="s">
        <v>459</v>
      </c>
      <c r="I293" t="s">
        <v>460</v>
      </c>
      <c r="J293" t="s">
        <v>462</v>
      </c>
      <c r="K293">
        <v>2023</v>
      </c>
      <c r="L293" t="s">
        <v>23</v>
      </c>
      <c r="M293" s="2">
        <v>8846136</v>
      </c>
      <c r="N293" t="s">
        <v>133</v>
      </c>
      <c r="O293" t="s">
        <v>457</v>
      </c>
      <c r="P293" t="s">
        <v>411</v>
      </c>
    </row>
    <row r="294" spans="1:17">
      <c r="A294">
        <v>14</v>
      </c>
      <c r="B294" t="s">
        <v>1079</v>
      </c>
      <c r="C294" t="s">
        <v>463</v>
      </c>
      <c r="D294" t="s">
        <v>464</v>
      </c>
      <c r="E294" t="s">
        <v>51</v>
      </c>
      <c r="F294">
        <v>511100</v>
      </c>
      <c r="G294" t="s">
        <v>161</v>
      </c>
      <c r="H294" t="s">
        <v>465</v>
      </c>
      <c r="I294" t="s">
        <v>466</v>
      </c>
      <c r="J294" t="s">
        <v>467</v>
      </c>
      <c r="K294">
        <v>2025</v>
      </c>
      <c r="L294" t="s">
        <v>23</v>
      </c>
      <c r="M294">
        <v>4139910</v>
      </c>
      <c r="N294" t="s">
        <v>162</v>
      </c>
      <c r="O294" t="s">
        <v>468</v>
      </c>
      <c r="P294" t="s">
        <v>411</v>
      </c>
      <c r="Q294" t="s">
        <v>624</v>
      </c>
    </row>
    <row r="295" spans="1:17">
      <c r="A295">
        <v>14</v>
      </c>
      <c r="B295" t="s">
        <v>1079</v>
      </c>
      <c r="C295" t="s">
        <v>463</v>
      </c>
      <c r="D295" t="s">
        <v>469</v>
      </c>
      <c r="E295" t="s">
        <v>51</v>
      </c>
      <c r="F295">
        <v>85000</v>
      </c>
      <c r="G295" t="s">
        <v>161</v>
      </c>
      <c r="H295" t="s">
        <v>465</v>
      </c>
      <c r="I295" t="s">
        <v>470</v>
      </c>
      <c r="J295" t="s">
        <v>471</v>
      </c>
      <c r="K295">
        <v>2025</v>
      </c>
      <c r="L295" t="s">
        <v>35</v>
      </c>
      <c r="M295">
        <v>688500</v>
      </c>
      <c r="N295" t="s">
        <v>162</v>
      </c>
      <c r="O295" t="s">
        <v>463</v>
      </c>
      <c r="P295" t="s">
        <v>411</v>
      </c>
      <c r="Q295" t="s">
        <v>785</v>
      </c>
    </row>
    <row r="296" spans="1:17">
      <c r="A296">
        <v>14</v>
      </c>
      <c r="B296" t="s">
        <v>1079</v>
      </c>
      <c r="C296" t="s">
        <v>463</v>
      </c>
      <c r="D296" t="s">
        <v>464</v>
      </c>
      <c r="E296" t="s">
        <v>57</v>
      </c>
      <c r="F296">
        <v>260200</v>
      </c>
      <c r="G296" t="s">
        <v>161</v>
      </c>
      <c r="H296" t="s">
        <v>465</v>
      </c>
      <c r="I296" t="s">
        <v>466</v>
      </c>
      <c r="J296" t="s">
        <v>472</v>
      </c>
      <c r="K296">
        <v>2024</v>
      </c>
      <c r="L296" t="s">
        <v>23</v>
      </c>
      <c r="M296">
        <v>2107620</v>
      </c>
      <c r="N296" t="s">
        <v>162</v>
      </c>
      <c r="O296" t="s">
        <v>468</v>
      </c>
      <c r="P296" t="s">
        <v>411</v>
      </c>
      <c r="Q296" t="s">
        <v>624</v>
      </c>
    </row>
    <row r="297" spans="1:17">
      <c r="A297">
        <v>14</v>
      </c>
      <c r="B297" t="s">
        <v>1079</v>
      </c>
      <c r="C297" t="s">
        <v>463</v>
      </c>
      <c r="D297" t="s">
        <v>469</v>
      </c>
      <c r="E297" t="s">
        <v>57</v>
      </c>
      <c r="F297">
        <v>38900</v>
      </c>
      <c r="G297" t="s">
        <v>161</v>
      </c>
      <c r="H297" t="s">
        <v>465</v>
      </c>
      <c r="I297" t="s">
        <v>470</v>
      </c>
      <c r="J297" t="s">
        <v>473</v>
      </c>
      <c r="K297">
        <v>2024</v>
      </c>
      <c r="L297" t="s">
        <v>35</v>
      </c>
      <c r="M297">
        <v>315090</v>
      </c>
      <c r="N297" t="s">
        <v>162</v>
      </c>
      <c r="O297" t="s">
        <v>463</v>
      </c>
      <c r="P297" t="s">
        <v>411</v>
      </c>
      <c r="Q297" t="s">
        <v>785</v>
      </c>
    </row>
    <row r="298" spans="1:17">
      <c r="A298">
        <v>10</v>
      </c>
      <c r="B298" t="s">
        <v>912</v>
      </c>
      <c r="C298" t="s">
        <v>463</v>
      </c>
      <c r="D298" t="s">
        <v>474</v>
      </c>
      <c r="E298" t="s">
        <v>51</v>
      </c>
      <c r="F298">
        <v>611149</v>
      </c>
      <c r="G298" t="s">
        <v>130</v>
      </c>
      <c r="H298" t="s">
        <v>431</v>
      </c>
      <c r="I298" t="s">
        <v>432</v>
      </c>
      <c r="J298" t="s">
        <v>475</v>
      </c>
      <c r="K298">
        <v>2025</v>
      </c>
      <c r="L298" t="s">
        <v>23</v>
      </c>
      <c r="M298">
        <v>4400272.8</v>
      </c>
      <c r="N298" t="s">
        <v>133</v>
      </c>
      <c r="O298" t="s">
        <v>476</v>
      </c>
      <c r="P298" t="s">
        <v>411</v>
      </c>
    </row>
    <row r="299" spans="1:17">
      <c r="A299">
        <v>10</v>
      </c>
      <c r="B299" t="s">
        <v>912</v>
      </c>
      <c r="C299" t="s">
        <v>463</v>
      </c>
      <c r="D299" t="s">
        <v>474</v>
      </c>
      <c r="E299" t="s">
        <v>57</v>
      </c>
      <c r="F299">
        <v>560706</v>
      </c>
      <c r="G299" t="s">
        <v>130</v>
      </c>
      <c r="H299" t="s">
        <v>431</v>
      </c>
      <c r="I299" t="s">
        <v>432</v>
      </c>
      <c r="J299" t="s">
        <v>477</v>
      </c>
      <c r="K299">
        <v>2024</v>
      </c>
      <c r="L299" t="s">
        <v>23</v>
      </c>
      <c r="M299">
        <v>4037083.2</v>
      </c>
      <c r="N299" t="s">
        <v>133</v>
      </c>
      <c r="O299" t="s">
        <v>476</v>
      </c>
      <c r="P299" t="s">
        <v>411</v>
      </c>
    </row>
    <row r="300" spans="1:17">
      <c r="A300">
        <v>10</v>
      </c>
      <c r="B300" t="s">
        <v>912</v>
      </c>
      <c r="C300" t="s">
        <v>463</v>
      </c>
      <c r="D300" t="s">
        <v>474</v>
      </c>
      <c r="E300" t="s">
        <v>62</v>
      </c>
      <c r="F300">
        <v>520000</v>
      </c>
      <c r="G300" t="s">
        <v>130</v>
      </c>
      <c r="H300" t="s">
        <v>431</v>
      </c>
      <c r="I300" t="s">
        <v>432</v>
      </c>
      <c r="J300" t="s">
        <v>478</v>
      </c>
      <c r="K300">
        <v>2023</v>
      </c>
      <c r="L300" t="s">
        <v>23</v>
      </c>
      <c r="M300">
        <v>3744000</v>
      </c>
      <c r="N300" t="s">
        <v>133</v>
      </c>
      <c r="O300" t="s">
        <v>476</v>
      </c>
      <c r="P300" t="s">
        <v>411</v>
      </c>
    </row>
    <row r="301" spans="1:17">
      <c r="A301">
        <v>8</v>
      </c>
      <c r="B301" t="s">
        <v>449</v>
      </c>
      <c r="C301" t="s">
        <v>101</v>
      </c>
      <c r="D301" t="s">
        <v>479</v>
      </c>
      <c r="E301" t="s">
        <v>51</v>
      </c>
      <c r="F301">
        <v>1861900</v>
      </c>
      <c r="G301" s="9" t="s">
        <v>248</v>
      </c>
      <c r="H301" t="s">
        <v>450</v>
      </c>
      <c r="I301" t="s">
        <v>451</v>
      </c>
      <c r="J301" t="s">
        <v>480</v>
      </c>
      <c r="K301">
        <v>2025</v>
      </c>
      <c r="L301" t="s">
        <v>23</v>
      </c>
      <c r="M301" s="2">
        <v>13405680</v>
      </c>
      <c r="N301" t="s">
        <v>133</v>
      </c>
      <c r="O301" t="s">
        <v>481</v>
      </c>
      <c r="P301" t="s">
        <v>411</v>
      </c>
      <c r="Q301" t="s">
        <v>624</v>
      </c>
    </row>
    <row r="302" spans="1:17">
      <c r="A302">
        <v>8</v>
      </c>
      <c r="B302" t="s">
        <v>449</v>
      </c>
      <c r="C302" t="s">
        <v>101</v>
      </c>
      <c r="D302" t="s">
        <v>479</v>
      </c>
      <c r="E302" t="s">
        <v>57</v>
      </c>
      <c r="F302">
        <v>1298100</v>
      </c>
      <c r="G302" s="9" t="s">
        <v>248</v>
      </c>
      <c r="H302" t="s">
        <v>450</v>
      </c>
      <c r="I302" t="s">
        <v>451</v>
      </c>
      <c r="J302" t="s">
        <v>482</v>
      </c>
      <c r="K302">
        <v>2024</v>
      </c>
      <c r="L302" t="s">
        <v>23</v>
      </c>
      <c r="M302" s="2">
        <v>9346320</v>
      </c>
      <c r="N302" t="s">
        <v>133</v>
      </c>
      <c r="O302" t="s">
        <v>481</v>
      </c>
      <c r="P302" t="s">
        <v>411</v>
      </c>
      <c r="Q302" t="s">
        <v>624</v>
      </c>
    </row>
    <row r="303" spans="1:17">
      <c r="A303">
        <v>8</v>
      </c>
      <c r="B303" t="s">
        <v>449</v>
      </c>
      <c r="C303" t="s">
        <v>101</v>
      </c>
      <c r="D303" t="s">
        <v>479</v>
      </c>
      <c r="E303" t="s">
        <v>62</v>
      </c>
      <c r="F303">
        <v>844800</v>
      </c>
      <c r="G303" s="9" t="s">
        <v>248</v>
      </c>
      <c r="H303" t="s">
        <v>450</v>
      </c>
      <c r="I303" t="s">
        <v>451</v>
      </c>
      <c r="J303" t="s">
        <v>483</v>
      </c>
      <c r="K303">
        <v>2023</v>
      </c>
      <c r="L303" t="s">
        <v>23</v>
      </c>
      <c r="M303" s="2">
        <v>6082560</v>
      </c>
      <c r="N303" t="s">
        <v>133</v>
      </c>
      <c r="O303" t="s">
        <v>481</v>
      </c>
      <c r="P303" t="s">
        <v>411</v>
      </c>
      <c r="Q303" t="s">
        <v>624</v>
      </c>
    </row>
    <row r="304" spans="1:17">
      <c r="A304">
        <v>7</v>
      </c>
      <c r="B304" t="s">
        <v>938</v>
      </c>
      <c r="C304" t="s">
        <v>17</v>
      </c>
      <c r="D304" t="s">
        <v>102</v>
      </c>
      <c r="E304" t="s">
        <v>51</v>
      </c>
      <c r="F304">
        <v>7296200</v>
      </c>
      <c r="G304" t="s">
        <v>485</v>
      </c>
      <c r="H304" t="s">
        <v>486</v>
      </c>
      <c r="I304" t="s">
        <v>487</v>
      </c>
      <c r="J304" t="s">
        <v>488</v>
      </c>
      <c r="K304">
        <v>2025</v>
      </c>
      <c r="L304" t="s">
        <v>23</v>
      </c>
      <c r="M304">
        <v>56910360</v>
      </c>
      <c r="N304" t="s">
        <v>489</v>
      </c>
      <c r="O304" t="s">
        <v>134</v>
      </c>
      <c r="P304" t="s">
        <v>490</v>
      </c>
    </row>
    <row r="305" spans="1:16">
      <c r="A305">
        <v>7</v>
      </c>
      <c r="B305" t="s">
        <v>938</v>
      </c>
      <c r="C305" t="s">
        <v>17</v>
      </c>
      <c r="D305" t="s">
        <v>109</v>
      </c>
      <c r="E305" t="s">
        <v>51</v>
      </c>
      <c r="F305">
        <v>45</v>
      </c>
      <c r="G305" t="s">
        <v>30</v>
      </c>
      <c r="H305" t="s">
        <v>486</v>
      </c>
      <c r="I305" t="s">
        <v>487</v>
      </c>
      <c r="J305" t="s">
        <v>491</v>
      </c>
      <c r="K305">
        <v>2025</v>
      </c>
      <c r="L305" t="s">
        <v>29</v>
      </c>
      <c r="M305">
        <v>45</v>
      </c>
      <c r="N305" t="s">
        <v>32</v>
      </c>
      <c r="O305" t="s">
        <v>134</v>
      </c>
      <c r="P305" t="s">
        <v>490</v>
      </c>
    </row>
    <row r="306" spans="1:16">
      <c r="A306">
        <v>7</v>
      </c>
      <c r="B306" t="s">
        <v>938</v>
      </c>
      <c r="C306" t="s">
        <v>17</v>
      </c>
      <c r="D306" t="s">
        <v>254</v>
      </c>
      <c r="E306" t="s">
        <v>51</v>
      </c>
      <c r="F306">
        <v>656100</v>
      </c>
      <c r="G306" t="s">
        <v>485</v>
      </c>
      <c r="H306" t="s">
        <v>486</v>
      </c>
      <c r="I306" t="s">
        <v>492</v>
      </c>
      <c r="J306" t="s">
        <v>493</v>
      </c>
      <c r="K306">
        <v>2025</v>
      </c>
      <c r="L306" t="s">
        <v>35</v>
      </c>
      <c r="M306">
        <v>5117580</v>
      </c>
      <c r="N306" t="s">
        <v>489</v>
      </c>
      <c r="O306" t="s">
        <v>134</v>
      </c>
      <c r="P306" t="s">
        <v>490</v>
      </c>
    </row>
    <row r="307" spans="1:16">
      <c r="A307">
        <v>7</v>
      </c>
      <c r="B307" t="s">
        <v>938</v>
      </c>
      <c r="C307" t="s">
        <v>17</v>
      </c>
      <c r="D307" t="s">
        <v>113</v>
      </c>
      <c r="E307" t="s">
        <v>51</v>
      </c>
      <c r="F307">
        <v>9</v>
      </c>
      <c r="G307" t="s">
        <v>30</v>
      </c>
      <c r="H307" t="s">
        <v>486</v>
      </c>
      <c r="I307" t="s">
        <v>492</v>
      </c>
      <c r="J307" t="s">
        <v>494</v>
      </c>
      <c r="K307">
        <v>2025</v>
      </c>
      <c r="L307" t="s">
        <v>115</v>
      </c>
      <c r="M307">
        <v>9</v>
      </c>
      <c r="N307" t="s">
        <v>495</v>
      </c>
      <c r="O307" t="s">
        <v>134</v>
      </c>
      <c r="P307" t="s">
        <v>490</v>
      </c>
    </row>
    <row r="308" spans="1:16">
      <c r="A308">
        <v>7</v>
      </c>
      <c r="B308" t="s">
        <v>938</v>
      </c>
      <c r="C308" t="s">
        <v>101</v>
      </c>
      <c r="D308" t="s">
        <v>496</v>
      </c>
      <c r="E308" t="s">
        <v>51</v>
      </c>
      <c r="F308">
        <v>488400</v>
      </c>
      <c r="G308" t="s">
        <v>485</v>
      </c>
      <c r="H308" t="s">
        <v>486</v>
      </c>
      <c r="I308" t="s">
        <v>492</v>
      </c>
      <c r="J308" t="s">
        <v>497</v>
      </c>
      <c r="K308">
        <v>2025</v>
      </c>
      <c r="L308" t="s">
        <v>23</v>
      </c>
      <c r="M308">
        <v>3809520</v>
      </c>
      <c r="N308" t="s">
        <v>489</v>
      </c>
      <c r="O308" t="s">
        <v>101</v>
      </c>
      <c r="P308" t="s">
        <v>490</v>
      </c>
    </row>
    <row r="309" spans="1:16">
      <c r="A309">
        <v>7</v>
      </c>
      <c r="B309" t="s">
        <v>938</v>
      </c>
      <c r="C309" t="s">
        <v>17</v>
      </c>
      <c r="D309" t="s">
        <v>102</v>
      </c>
      <c r="E309" t="s">
        <v>57</v>
      </c>
      <c r="F309">
        <v>8398000</v>
      </c>
      <c r="G309" t="s">
        <v>485</v>
      </c>
      <c r="H309" t="s">
        <v>486</v>
      </c>
      <c r="I309" t="s">
        <v>487</v>
      </c>
      <c r="J309" t="s">
        <v>498</v>
      </c>
      <c r="K309">
        <v>2024</v>
      </c>
      <c r="L309" t="s">
        <v>23</v>
      </c>
      <c r="M309">
        <v>65504400</v>
      </c>
      <c r="N309" t="s">
        <v>489</v>
      </c>
      <c r="O309" t="s">
        <v>134</v>
      </c>
      <c r="P309" t="s">
        <v>490</v>
      </c>
    </row>
    <row r="310" spans="1:16">
      <c r="A310">
        <v>7</v>
      </c>
      <c r="B310" t="s">
        <v>938</v>
      </c>
      <c r="C310" t="s">
        <v>17</v>
      </c>
      <c r="D310" t="s">
        <v>109</v>
      </c>
      <c r="E310" t="s">
        <v>57</v>
      </c>
      <c r="F310">
        <v>47.6</v>
      </c>
      <c r="G310" t="s">
        <v>30</v>
      </c>
      <c r="H310" t="s">
        <v>486</v>
      </c>
      <c r="I310" t="s">
        <v>487</v>
      </c>
      <c r="J310" t="s">
        <v>499</v>
      </c>
      <c r="K310">
        <v>2024</v>
      </c>
      <c r="L310" t="s">
        <v>29</v>
      </c>
      <c r="M310">
        <v>47.6</v>
      </c>
      <c r="N310" t="s">
        <v>32</v>
      </c>
      <c r="O310" t="s">
        <v>134</v>
      </c>
      <c r="P310" t="s">
        <v>490</v>
      </c>
    </row>
    <row r="311" spans="1:16">
      <c r="A311">
        <v>7</v>
      </c>
      <c r="B311" t="s">
        <v>938</v>
      </c>
      <c r="C311" t="s">
        <v>17</v>
      </c>
      <c r="D311" t="s">
        <v>254</v>
      </c>
      <c r="E311" t="s">
        <v>57</v>
      </c>
      <c r="F311">
        <v>1359100</v>
      </c>
      <c r="G311" t="s">
        <v>485</v>
      </c>
      <c r="H311" t="s">
        <v>486</v>
      </c>
      <c r="I311" t="s">
        <v>492</v>
      </c>
      <c r="J311" t="s">
        <v>500</v>
      </c>
      <c r="K311">
        <v>2024</v>
      </c>
      <c r="L311" t="s">
        <v>35</v>
      </c>
      <c r="M311">
        <v>10600980</v>
      </c>
      <c r="N311" t="s">
        <v>489</v>
      </c>
      <c r="O311" t="s">
        <v>134</v>
      </c>
      <c r="P311" t="s">
        <v>490</v>
      </c>
    </row>
    <row r="312" spans="1:16">
      <c r="A312">
        <v>7</v>
      </c>
      <c r="B312" t="s">
        <v>938</v>
      </c>
      <c r="C312" t="s">
        <v>17</v>
      </c>
      <c r="D312" t="s">
        <v>113</v>
      </c>
      <c r="E312" t="s">
        <v>57</v>
      </c>
      <c r="F312">
        <v>16.2</v>
      </c>
      <c r="G312" t="s">
        <v>30</v>
      </c>
      <c r="H312" t="s">
        <v>486</v>
      </c>
      <c r="I312" t="s">
        <v>492</v>
      </c>
      <c r="J312" t="s">
        <v>501</v>
      </c>
      <c r="K312">
        <v>2024</v>
      </c>
      <c r="L312" t="s">
        <v>115</v>
      </c>
      <c r="M312">
        <v>16.2</v>
      </c>
      <c r="N312" t="s">
        <v>495</v>
      </c>
      <c r="O312" t="s">
        <v>134</v>
      </c>
      <c r="P312" t="s">
        <v>490</v>
      </c>
    </row>
    <row r="313" spans="1:16">
      <c r="A313">
        <v>7</v>
      </c>
      <c r="B313" t="s">
        <v>938</v>
      </c>
      <c r="C313" t="s">
        <v>101</v>
      </c>
      <c r="D313" t="s">
        <v>496</v>
      </c>
      <c r="E313" t="s">
        <v>57</v>
      </c>
      <c r="F313">
        <v>604000</v>
      </c>
      <c r="G313" t="s">
        <v>485</v>
      </c>
      <c r="H313" t="s">
        <v>486</v>
      </c>
      <c r="I313" t="s">
        <v>492</v>
      </c>
      <c r="J313" t="s">
        <v>502</v>
      </c>
      <c r="K313">
        <v>2024</v>
      </c>
      <c r="L313" t="s">
        <v>23</v>
      </c>
      <c r="M313">
        <v>4711200</v>
      </c>
      <c r="N313" t="s">
        <v>489</v>
      </c>
      <c r="O313" t="s">
        <v>101</v>
      </c>
      <c r="P313" t="s">
        <v>490</v>
      </c>
    </row>
    <row r="314" spans="1:16">
      <c r="A314">
        <v>7</v>
      </c>
      <c r="B314" t="s">
        <v>938</v>
      </c>
      <c r="C314" t="s">
        <v>17</v>
      </c>
      <c r="D314" t="s">
        <v>102</v>
      </c>
      <c r="E314" t="s">
        <v>62</v>
      </c>
      <c r="F314">
        <v>8601100</v>
      </c>
      <c r="G314" t="s">
        <v>485</v>
      </c>
      <c r="H314" t="s">
        <v>486</v>
      </c>
      <c r="I314" t="s">
        <v>487</v>
      </c>
      <c r="J314" t="s">
        <v>503</v>
      </c>
      <c r="K314">
        <v>2023</v>
      </c>
      <c r="L314" t="s">
        <v>23</v>
      </c>
      <c r="M314">
        <v>67088580</v>
      </c>
      <c r="N314" t="s">
        <v>489</v>
      </c>
      <c r="O314" t="s">
        <v>134</v>
      </c>
      <c r="P314" t="s">
        <v>490</v>
      </c>
    </row>
    <row r="315" spans="1:16">
      <c r="A315">
        <v>7</v>
      </c>
      <c r="B315" t="s">
        <v>938</v>
      </c>
      <c r="C315" t="s">
        <v>17</v>
      </c>
      <c r="D315" t="s">
        <v>109</v>
      </c>
      <c r="E315" t="s">
        <v>62</v>
      </c>
      <c r="F315">
        <v>47</v>
      </c>
      <c r="G315" t="s">
        <v>30</v>
      </c>
      <c r="H315" t="s">
        <v>486</v>
      </c>
      <c r="I315" t="s">
        <v>487</v>
      </c>
      <c r="J315" t="s">
        <v>504</v>
      </c>
      <c r="K315">
        <v>2023</v>
      </c>
      <c r="L315" t="s">
        <v>29</v>
      </c>
      <c r="M315">
        <v>47</v>
      </c>
      <c r="N315" t="s">
        <v>32</v>
      </c>
      <c r="O315" t="s">
        <v>134</v>
      </c>
      <c r="P315" t="s">
        <v>490</v>
      </c>
    </row>
    <row r="316" spans="1:16">
      <c r="A316">
        <v>7</v>
      </c>
      <c r="B316" t="s">
        <v>938</v>
      </c>
      <c r="C316" t="s">
        <v>17</v>
      </c>
      <c r="D316" t="s">
        <v>254</v>
      </c>
      <c r="E316" t="s">
        <v>62</v>
      </c>
      <c r="F316">
        <v>790500</v>
      </c>
      <c r="G316" t="s">
        <v>485</v>
      </c>
      <c r="H316" t="s">
        <v>486</v>
      </c>
      <c r="I316" t="s">
        <v>492</v>
      </c>
      <c r="J316" t="s">
        <v>505</v>
      </c>
      <c r="K316">
        <v>2023</v>
      </c>
      <c r="L316" t="s">
        <v>35</v>
      </c>
      <c r="M316">
        <v>6165900</v>
      </c>
      <c r="N316" t="s">
        <v>489</v>
      </c>
      <c r="O316" t="s">
        <v>134</v>
      </c>
      <c r="P316" t="s">
        <v>490</v>
      </c>
    </row>
    <row r="317" spans="1:16">
      <c r="A317">
        <v>7</v>
      </c>
      <c r="B317" t="s">
        <v>938</v>
      </c>
      <c r="C317" t="s">
        <v>17</v>
      </c>
      <c r="D317" t="s">
        <v>113</v>
      </c>
      <c r="E317" t="s">
        <v>62</v>
      </c>
      <c r="F317">
        <v>9.1999999999999993</v>
      </c>
      <c r="G317" t="s">
        <v>30</v>
      </c>
      <c r="H317" t="s">
        <v>486</v>
      </c>
      <c r="I317" t="s">
        <v>492</v>
      </c>
      <c r="J317" t="s">
        <v>506</v>
      </c>
      <c r="K317">
        <v>2023</v>
      </c>
      <c r="L317" t="s">
        <v>115</v>
      </c>
      <c r="M317">
        <v>9.1999999999999993</v>
      </c>
      <c r="N317" t="s">
        <v>495</v>
      </c>
      <c r="O317" t="s">
        <v>134</v>
      </c>
      <c r="P317" t="s">
        <v>490</v>
      </c>
    </row>
    <row r="318" spans="1:16">
      <c r="A318">
        <v>7</v>
      </c>
      <c r="B318" t="s">
        <v>938</v>
      </c>
      <c r="C318" t="s">
        <v>101</v>
      </c>
      <c r="D318" t="s">
        <v>496</v>
      </c>
      <c r="E318" t="s">
        <v>62</v>
      </c>
      <c r="F318">
        <v>582200</v>
      </c>
      <c r="G318" t="s">
        <v>485</v>
      </c>
      <c r="H318" t="s">
        <v>486</v>
      </c>
      <c r="I318" t="s">
        <v>492</v>
      </c>
      <c r="J318" t="s">
        <v>507</v>
      </c>
      <c r="K318">
        <v>2023</v>
      </c>
      <c r="L318" t="s">
        <v>23</v>
      </c>
      <c r="M318">
        <v>4541160</v>
      </c>
      <c r="N318" t="s">
        <v>489</v>
      </c>
      <c r="O318" t="s">
        <v>101</v>
      </c>
      <c r="P318" t="s">
        <v>490</v>
      </c>
    </row>
    <row r="319" spans="1:16">
      <c r="A319">
        <v>12</v>
      </c>
      <c r="B319" t="s">
        <v>922</v>
      </c>
      <c r="C319" t="s">
        <v>17</v>
      </c>
      <c r="D319" t="s">
        <v>165</v>
      </c>
      <c r="E319" t="s">
        <v>57</v>
      </c>
      <c r="F319">
        <v>4239.3</v>
      </c>
      <c r="G319" t="s">
        <v>248</v>
      </c>
      <c r="H319" t="s">
        <v>509</v>
      </c>
      <c r="I319" t="s">
        <v>510</v>
      </c>
      <c r="J319" t="s">
        <v>511</v>
      </c>
      <c r="K319">
        <v>2024</v>
      </c>
      <c r="L319" t="s">
        <v>23</v>
      </c>
      <c r="M319">
        <v>30522960</v>
      </c>
      <c r="N319" t="s">
        <v>761</v>
      </c>
      <c r="O319" t="s">
        <v>134</v>
      </c>
      <c r="P319" t="s">
        <v>490</v>
      </c>
    </row>
    <row r="320" spans="1:16">
      <c r="A320">
        <v>12</v>
      </c>
      <c r="B320" t="s">
        <v>922</v>
      </c>
      <c r="C320" t="s">
        <v>463</v>
      </c>
      <c r="D320" t="s">
        <v>512</v>
      </c>
      <c r="E320" t="s">
        <v>57</v>
      </c>
      <c r="F320">
        <v>487.6</v>
      </c>
      <c r="G320" t="s">
        <v>248</v>
      </c>
      <c r="H320" t="s">
        <v>509</v>
      </c>
      <c r="I320" t="s">
        <v>510</v>
      </c>
      <c r="J320" t="s">
        <v>513</v>
      </c>
      <c r="K320">
        <v>2024</v>
      </c>
      <c r="L320" t="s">
        <v>23</v>
      </c>
      <c r="M320">
        <v>3510720</v>
      </c>
      <c r="N320" t="s">
        <v>761</v>
      </c>
      <c r="O320" t="s">
        <v>514</v>
      </c>
      <c r="P320" t="s">
        <v>490</v>
      </c>
    </row>
    <row r="321" spans="1:17">
      <c r="A321">
        <v>12</v>
      </c>
      <c r="B321" t="s">
        <v>922</v>
      </c>
      <c r="C321" t="s">
        <v>17</v>
      </c>
      <c r="D321" t="s">
        <v>165</v>
      </c>
      <c r="E321" t="s">
        <v>62</v>
      </c>
      <c r="F321">
        <v>4284.8</v>
      </c>
      <c r="G321" t="s">
        <v>248</v>
      </c>
      <c r="H321" t="s">
        <v>509</v>
      </c>
      <c r="I321" t="s">
        <v>510</v>
      </c>
      <c r="J321" t="s">
        <v>515</v>
      </c>
      <c r="K321">
        <v>2023</v>
      </c>
      <c r="L321" t="s">
        <v>23</v>
      </c>
      <c r="M321">
        <v>30850560</v>
      </c>
      <c r="N321" t="s">
        <v>761</v>
      </c>
      <c r="O321" t="s">
        <v>134</v>
      </c>
      <c r="P321" t="s">
        <v>490</v>
      </c>
    </row>
    <row r="322" spans="1:17">
      <c r="A322">
        <v>12</v>
      </c>
      <c r="B322" t="s">
        <v>922</v>
      </c>
      <c r="C322" t="s">
        <v>463</v>
      </c>
      <c r="D322" t="s">
        <v>512</v>
      </c>
      <c r="E322" t="s">
        <v>62</v>
      </c>
      <c r="F322">
        <v>531.9</v>
      </c>
      <c r="G322" t="s">
        <v>248</v>
      </c>
      <c r="H322" t="s">
        <v>509</v>
      </c>
      <c r="I322" t="s">
        <v>510</v>
      </c>
      <c r="J322" t="s">
        <v>516</v>
      </c>
      <c r="K322">
        <v>2023</v>
      </c>
      <c r="L322" t="s">
        <v>23</v>
      </c>
      <c r="M322">
        <v>3829680</v>
      </c>
      <c r="N322" t="s">
        <v>761</v>
      </c>
      <c r="O322" t="s">
        <v>463</v>
      </c>
      <c r="P322" t="s">
        <v>490</v>
      </c>
    </row>
    <row r="323" spans="1:17">
      <c r="A323">
        <v>1</v>
      </c>
      <c r="B323" t="s">
        <v>910</v>
      </c>
      <c r="C323" t="s">
        <v>457</v>
      </c>
      <c r="D323" t="s">
        <v>583</v>
      </c>
      <c r="E323" s="9" t="s">
        <v>841</v>
      </c>
      <c r="F323" s="2">
        <v>1754799</v>
      </c>
      <c r="G323" t="s">
        <v>130</v>
      </c>
      <c r="H323" t="s">
        <v>584</v>
      </c>
      <c r="I323">
        <v>63</v>
      </c>
      <c r="J323" t="s">
        <v>585</v>
      </c>
      <c r="K323">
        <v>2025</v>
      </c>
      <c r="L323" t="s">
        <v>23</v>
      </c>
      <c r="M323" s="2">
        <f>F323*7.2</f>
        <v>12634552.800000001</v>
      </c>
      <c r="N323" t="s">
        <v>133</v>
      </c>
      <c r="O323" t="s">
        <v>457</v>
      </c>
      <c r="P323" s="1">
        <v>46176</v>
      </c>
    </row>
    <row r="324" spans="1:17">
      <c r="A324">
        <v>1</v>
      </c>
      <c r="B324" t="s">
        <v>910</v>
      </c>
      <c r="C324" t="s">
        <v>457</v>
      </c>
      <c r="D324" t="s">
        <v>583</v>
      </c>
      <c r="E324" s="9" t="s">
        <v>842</v>
      </c>
      <c r="F324" s="2">
        <v>1361337</v>
      </c>
      <c r="G324" t="s">
        <v>130</v>
      </c>
      <c r="H324" t="s">
        <v>584</v>
      </c>
      <c r="I324">
        <v>63</v>
      </c>
      <c r="J324" t="s">
        <v>585</v>
      </c>
      <c r="K324">
        <v>2024</v>
      </c>
      <c r="L324" t="s">
        <v>23</v>
      </c>
      <c r="M324" s="2">
        <f>F324*7.2</f>
        <v>9801626.4000000004</v>
      </c>
      <c r="N324" t="s">
        <v>133</v>
      </c>
      <c r="O324" t="s">
        <v>457</v>
      </c>
      <c r="P324" s="1">
        <v>46176</v>
      </c>
    </row>
    <row r="325" spans="1:17">
      <c r="A325">
        <v>1</v>
      </c>
      <c r="B325" t="s">
        <v>910</v>
      </c>
      <c r="C325" t="s">
        <v>457</v>
      </c>
      <c r="D325" t="s">
        <v>583</v>
      </c>
      <c r="E325" s="9" t="s">
        <v>843</v>
      </c>
      <c r="F325" s="2">
        <v>963760</v>
      </c>
      <c r="G325" t="s">
        <v>130</v>
      </c>
      <c r="H325" t="s">
        <v>584</v>
      </c>
      <c r="I325">
        <v>63</v>
      </c>
      <c r="J325" t="s">
        <v>585</v>
      </c>
      <c r="K325">
        <v>2023</v>
      </c>
      <c r="L325" t="s">
        <v>23</v>
      </c>
      <c r="M325" s="2">
        <f>F325*7.2</f>
        <v>6939072</v>
      </c>
      <c r="N325" t="s">
        <v>133</v>
      </c>
      <c r="O325" t="s">
        <v>457</v>
      </c>
      <c r="P325" s="1">
        <v>46176</v>
      </c>
    </row>
    <row r="326" spans="1:17">
      <c r="A326">
        <v>12</v>
      </c>
      <c r="B326" t="s">
        <v>922</v>
      </c>
      <c r="C326" t="s">
        <v>17</v>
      </c>
      <c r="D326" t="s">
        <v>165</v>
      </c>
      <c r="E326" t="s">
        <v>51</v>
      </c>
      <c r="F326">
        <v>2060.1</v>
      </c>
      <c r="G326" t="s">
        <v>248</v>
      </c>
      <c r="H326" t="s">
        <v>517</v>
      </c>
      <c r="I326" t="s">
        <v>518</v>
      </c>
      <c r="J326" t="s">
        <v>519</v>
      </c>
      <c r="K326">
        <v>2025</v>
      </c>
      <c r="L326" t="s">
        <v>23</v>
      </c>
      <c r="M326">
        <v>14832720</v>
      </c>
      <c r="N326" t="s">
        <v>761</v>
      </c>
      <c r="O326" t="s">
        <v>520</v>
      </c>
      <c r="P326" t="s">
        <v>490</v>
      </c>
    </row>
    <row r="327" spans="1:17">
      <c r="A327">
        <v>12</v>
      </c>
      <c r="B327" t="s">
        <v>922</v>
      </c>
      <c r="C327" t="s">
        <v>463</v>
      </c>
      <c r="D327" t="s">
        <v>512</v>
      </c>
      <c r="E327" t="s">
        <v>51</v>
      </c>
      <c r="F327">
        <v>363.1</v>
      </c>
      <c r="G327" t="s">
        <v>248</v>
      </c>
      <c r="H327" t="s">
        <v>517</v>
      </c>
      <c r="I327" t="s">
        <v>518</v>
      </c>
      <c r="J327" t="s">
        <v>521</v>
      </c>
      <c r="K327">
        <v>2025</v>
      </c>
      <c r="L327" t="s">
        <v>23</v>
      </c>
      <c r="M327">
        <v>2614320</v>
      </c>
      <c r="N327" t="s">
        <v>761</v>
      </c>
      <c r="O327" t="s">
        <v>522</v>
      </c>
      <c r="P327" t="s">
        <v>490</v>
      </c>
    </row>
    <row r="328" spans="1:17">
      <c r="A328">
        <v>15</v>
      </c>
      <c r="B328" t="s">
        <v>164</v>
      </c>
      <c r="C328" t="s">
        <v>463</v>
      </c>
      <c r="D328" t="s">
        <v>523</v>
      </c>
      <c r="E328" t="s">
        <v>19</v>
      </c>
      <c r="F328">
        <v>755437</v>
      </c>
      <c r="G328" t="s">
        <v>130</v>
      </c>
      <c r="H328" t="s">
        <v>524</v>
      </c>
      <c r="I328" t="s">
        <v>525</v>
      </c>
      <c r="J328" t="s">
        <v>526</v>
      </c>
      <c r="K328">
        <v>2025</v>
      </c>
      <c r="L328" t="s">
        <v>23</v>
      </c>
      <c r="M328">
        <v>5439146.4000000004</v>
      </c>
      <c r="N328" t="s">
        <v>133</v>
      </c>
      <c r="O328" t="s">
        <v>527</v>
      </c>
      <c r="P328" t="s">
        <v>490</v>
      </c>
      <c r="Q328" t="s">
        <v>624</v>
      </c>
    </row>
    <row r="329" spans="1:17">
      <c r="A329">
        <v>15</v>
      </c>
      <c r="B329" t="s">
        <v>164</v>
      </c>
      <c r="C329" t="s">
        <v>463</v>
      </c>
      <c r="D329" t="s">
        <v>528</v>
      </c>
      <c r="E329" t="s">
        <v>51</v>
      </c>
      <c r="F329">
        <v>73187</v>
      </c>
      <c r="G329" t="s">
        <v>130</v>
      </c>
      <c r="H329" t="s">
        <v>524</v>
      </c>
      <c r="I329" t="s">
        <v>525</v>
      </c>
      <c r="J329" t="s">
        <v>529</v>
      </c>
      <c r="K329">
        <v>2025</v>
      </c>
      <c r="L329" t="s">
        <v>35</v>
      </c>
      <c r="M329">
        <v>526946.4</v>
      </c>
      <c r="N329" t="s">
        <v>133</v>
      </c>
      <c r="O329" t="s">
        <v>463</v>
      </c>
      <c r="P329" t="s">
        <v>490</v>
      </c>
      <c r="Q329" t="s">
        <v>624</v>
      </c>
    </row>
    <row r="330" spans="1:17">
      <c r="A330">
        <v>15</v>
      </c>
      <c r="B330" t="s">
        <v>164</v>
      </c>
      <c r="C330" t="s">
        <v>463</v>
      </c>
      <c r="D330" t="s">
        <v>523</v>
      </c>
      <c r="E330" t="s">
        <v>39</v>
      </c>
      <c r="F330">
        <v>873019</v>
      </c>
      <c r="G330" t="s">
        <v>130</v>
      </c>
      <c r="H330" t="s">
        <v>524</v>
      </c>
      <c r="I330" t="s">
        <v>525</v>
      </c>
      <c r="J330" t="s">
        <v>530</v>
      </c>
      <c r="K330">
        <v>2024</v>
      </c>
      <c r="L330" t="s">
        <v>23</v>
      </c>
      <c r="M330">
        <v>6285736.7999999998</v>
      </c>
      <c r="N330" t="s">
        <v>133</v>
      </c>
      <c r="O330" t="s">
        <v>527</v>
      </c>
      <c r="P330" t="s">
        <v>490</v>
      </c>
      <c r="Q330" t="s">
        <v>624</v>
      </c>
    </row>
    <row r="331" spans="1:17">
      <c r="A331">
        <v>15</v>
      </c>
      <c r="B331" t="s">
        <v>164</v>
      </c>
      <c r="C331" t="s">
        <v>463</v>
      </c>
      <c r="D331" t="s">
        <v>528</v>
      </c>
      <c r="E331" t="s">
        <v>57</v>
      </c>
      <c r="F331">
        <v>119650</v>
      </c>
      <c r="G331" t="s">
        <v>130</v>
      </c>
      <c r="H331" t="s">
        <v>524</v>
      </c>
      <c r="I331" t="s">
        <v>525</v>
      </c>
      <c r="J331" t="s">
        <v>531</v>
      </c>
      <c r="K331">
        <v>2024</v>
      </c>
      <c r="L331" t="s">
        <v>35</v>
      </c>
      <c r="M331">
        <v>861480</v>
      </c>
      <c r="N331" t="s">
        <v>133</v>
      </c>
      <c r="O331" t="s">
        <v>463</v>
      </c>
      <c r="P331" t="s">
        <v>490</v>
      </c>
      <c r="Q331" t="s">
        <v>624</v>
      </c>
    </row>
    <row r="332" spans="1:17">
      <c r="A332">
        <v>15</v>
      </c>
      <c r="B332" t="s">
        <v>164</v>
      </c>
      <c r="C332" t="s">
        <v>463</v>
      </c>
      <c r="D332" t="s">
        <v>523</v>
      </c>
      <c r="E332" t="s">
        <v>587</v>
      </c>
      <c r="F332">
        <v>825338</v>
      </c>
      <c r="G332" t="s">
        <v>130</v>
      </c>
      <c r="H332" t="s">
        <v>524</v>
      </c>
      <c r="I332" t="s">
        <v>525</v>
      </c>
      <c r="J332" t="s">
        <v>532</v>
      </c>
      <c r="K332">
        <v>2023</v>
      </c>
      <c r="L332" t="s">
        <v>23</v>
      </c>
      <c r="M332">
        <v>5942433.6000000006</v>
      </c>
      <c r="N332" t="s">
        <v>133</v>
      </c>
      <c r="O332" t="s">
        <v>527</v>
      </c>
      <c r="P332" t="s">
        <v>490</v>
      </c>
      <c r="Q332" t="s">
        <v>624</v>
      </c>
    </row>
    <row r="333" spans="1:17">
      <c r="A333">
        <v>15</v>
      </c>
      <c r="B333" t="s">
        <v>164</v>
      </c>
      <c r="C333" t="s">
        <v>463</v>
      </c>
      <c r="D333" t="s">
        <v>528</v>
      </c>
      <c r="E333" t="s">
        <v>62</v>
      </c>
      <c r="F333">
        <v>100276</v>
      </c>
      <c r="G333" t="s">
        <v>130</v>
      </c>
      <c r="H333" t="s">
        <v>524</v>
      </c>
      <c r="I333" t="s">
        <v>525</v>
      </c>
      <c r="J333" t="s">
        <v>533</v>
      </c>
      <c r="K333">
        <v>2023</v>
      </c>
      <c r="L333" t="s">
        <v>35</v>
      </c>
      <c r="M333">
        <v>721987.20000000007</v>
      </c>
      <c r="N333" t="s">
        <v>133</v>
      </c>
      <c r="O333" t="s">
        <v>463</v>
      </c>
      <c r="P333" t="s">
        <v>490</v>
      </c>
      <c r="Q333" t="s">
        <v>624</v>
      </c>
    </row>
    <row r="334" spans="1:17">
      <c r="A334">
        <v>14</v>
      </c>
      <c r="B334" t="s">
        <v>1079</v>
      </c>
      <c r="C334" t="s">
        <v>463</v>
      </c>
      <c r="D334" t="s">
        <v>464</v>
      </c>
      <c r="E334" t="s">
        <v>62</v>
      </c>
      <c r="F334">
        <v>141100</v>
      </c>
      <c r="G334" t="s">
        <v>161</v>
      </c>
      <c r="H334" t="s">
        <v>534</v>
      </c>
      <c r="I334" t="s">
        <v>535</v>
      </c>
      <c r="J334" t="s">
        <v>536</v>
      </c>
      <c r="K334">
        <v>2023</v>
      </c>
      <c r="L334" t="s">
        <v>23</v>
      </c>
      <c r="M334">
        <v>1142910</v>
      </c>
      <c r="N334" t="s">
        <v>162</v>
      </c>
      <c r="O334" t="s">
        <v>537</v>
      </c>
      <c r="P334" t="s">
        <v>490</v>
      </c>
      <c r="Q334" t="s">
        <v>624</v>
      </c>
    </row>
    <row r="335" spans="1:17">
      <c r="A335">
        <v>6</v>
      </c>
      <c r="B335" t="s">
        <v>920</v>
      </c>
      <c r="C335" t="s">
        <v>17</v>
      </c>
      <c r="D335" t="s">
        <v>539</v>
      </c>
      <c r="E335" t="s">
        <v>540</v>
      </c>
      <c r="F335">
        <v>1528200</v>
      </c>
      <c r="G335" t="s">
        <v>541</v>
      </c>
      <c r="H335" t="s">
        <v>542</v>
      </c>
      <c r="I335" t="s">
        <v>543</v>
      </c>
      <c r="J335" t="s">
        <v>544</v>
      </c>
      <c r="K335">
        <v>2025</v>
      </c>
      <c r="L335" t="s">
        <v>23</v>
      </c>
      <c r="M335">
        <v>8405100</v>
      </c>
      <c r="N335" t="s">
        <v>545</v>
      </c>
      <c r="O335" t="s">
        <v>134</v>
      </c>
      <c r="P335" t="s">
        <v>490</v>
      </c>
    </row>
    <row r="336" spans="1:17">
      <c r="A336">
        <v>6</v>
      </c>
      <c r="B336" t="s">
        <v>920</v>
      </c>
      <c r="C336" t="s">
        <v>101</v>
      </c>
      <c r="D336" t="s">
        <v>546</v>
      </c>
      <c r="E336" t="s">
        <v>540</v>
      </c>
      <c r="F336">
        <v>498300</v>
      </c>
      <c r="G336" t="s">
        <v>541</v>
      </c>
      <c r="H336" t="s">
        <v>542</v>
      </c>
      <c r="I336" t="s">
        <v>543</v>
      </c>
      <c r="J336" t="s">
        <v>547</v>
      </c>
      <c r="K336">
        <v>2025</v>
      </c>
      <c r="L336" t="s">
        <v>23</v>
      </c>
      <c r="M336">
        <v>2740650</v>
      </c>
      <c r="N336" t="s">
        <v>545</v>
      </c>
      <c r="O336" t="s">
        <v>481</v>
      </c>
      <c r="P336" t="s">
        <v>490</v>
      </c>
    </row>
    <row r="337" spans="1:16">
      <c r="A337">
        <v>6</v>
      </c>
      <c r="B337" t="s">
        <v>920</v>
      </c>
      <c r="C337" t="s">
        <v>588</v>
      </c>
      <c r="D337" t="s">
        <v>548</v>
      </c>
      <c r="E337" t="s">
        <v>540</v>
      </c>
      <c r="F337">
        <v>628300</v>
      </c>
      <c r="G337" t="s">
        <v>541</v>
      </c>
      <c r="H337" t="s">
        <v>542</v>
      </c>
      <c r="I337" t="s">
        <v>543</v>
      </c>
      <c r="J337" t="s">
        <v>549</v>
      </c>
      <c r="K337">
        <v>2025</v>
      </c>
      <c r="L337" t="s">
        <v>23</v>
      </c>
      <c r="M337">
        <v>3455650</v>
      </c>
      <c r="N337" t="s">
        <v>545</v>
      </c>
      <c r="O337" t="s">
        <v>550</v>
      </c>
      <c r="P337" t="s">
        <v>490</v>
      </c>
    </row>
    <row r="338" spans="1:16">
      <c r="A338">
        <v>6</v>
      </c>
      <c r="B338" t="s">
        <v>920</v>
      </c>
      <c r="C338" t="s">
        <v>17</v>
      </c>
      <c r="D338" t="s">
        <v>539</v>
      </c>
      <c r="E338" t="s">
        <v>551</v>
      </c>
      <c r="F338">
        <v>1348400</v>
      </c>
      <c r="G338" t="s">
        <v>541</v>
      </c>
      <c r="H338" t="s">
        <v>542</v>
      </c>
      <c r="I338" t="s">
        <v>543</v>
      </c>
      <c r="J338" t="s">
        <v>552</v>
      </c>
      <c r="K338">
        <v>2024</v>
      </c>
      <c r="L338" t="s">
        <v>23</v>
      </c>
      <c r="M338">
        <v>7416200</v>
      </c>
      <c r="N338" t="s">
        <v>545</v>
      </c>
      <c r="O338" t="s">
        <v>134</v>
      </c>
      <c r="P338" t="s">
        <v>490</v>
      </c>
    </row>
    <row r="339" spans="1:16">
      <c r="A339">
        <v>6</v>
      </c>
      <c r="B339" t="s">
        <v>920</v>
      </c>
      <c r="C339" t="s">
        <v>101</v>
      </c>
      <c r="D339" t="s">
        <v>546</v>
      </c>
      <c r="E339" t="s">
        <v>551</v>
      </c>
      <c r="F339">
        <v>426500</v>
      </c>
      <c r="G339" t="s">
        <v>541</v>
      </c>
      <c r="H339" t="s">
        <v>542</v>
      </c>
      <c r="I339" t="s">
        <v>543</v>
      </c>
      <c r="J339" t="s">
        <v>553</v>
      </c>
      <c r="K339">
        <v>2024</v>
      </c>
      <c r="L339" t="s">
        <v>23</v>
      </c>
      <c r="M339">
        <v>2345750</v>
      </c>
      <c r="N339" t="s">
        <v>545</v>
      </c>
      <c r="O339" t="s">
        <v>481</v>
      </c>
      <c r="P339" t="s">
        <v>490</v>
      </c>
    </row>
    <row r="340" spans="1:16">
      <c r="A340">
        <v>6</v>
      </c>
      <c r="B340" t="s">
        <v>920</v>
      </c>
      <c r="C340" t="s">
        <v>588</v>
      </c>
      <c r="D340" t="s">
        <v>548</v>
      </c>
      <c r="E340" t="s">
        <v>551</v>
      </c>
      <c r="F340">
        <v>537800</v>
      </c>
      <c r="G340" t="s">
        <v>541</v>
      </c>
      <c r="H340" t="s">
        <v>542</v>
      </c>
      <c r="I340" t="s">
        <v>543</v>
      </c>
      <c r="J340" t="s">
        <v>554</v>
      </c>
      <c r="K340">
        <v>2024</v>
      </c>
      <c r="L340" t="s">
        <v>23</v>
      </c>
      <c r="M340">
        <v>2957900</v>
      </c>
      <c r="N340" t="s">
        <v>545</v>
      </c>
      <c r="O340" t="s">
        <v>550</v>
      </c>
      <c r="P340" t="s">
        <v>490</v>
      </c>
    </row>
    <row r="341" spans="1:16">
      <c r="A341">
        <v>6</v>
      </c>
      <c r="B341" t="s">
        <v>920</v>
      </c>
      <c r="C341" t="s">
        <v>17</v>
      </c>
      <c r="D341" t="s">
        <v>539</v>
      </c>
      <c r="E341" t="s">
        <v>39</v>
      </c>
      <c r="F341">
        <v>1333800</v>
      </c>
      <c r="G341" t="s">
        <v>541</v>
      </c>
      <c r="H341" t="s">
        <v>542</v>
      </c>
      <c r="I341" t="s">
        <v>543</v>
      </c>
      <c r="J341" t="s">
        <v>555</v>
      </c>
      <c r="K341">
        <v>2023</v>
      </c>
      <c r="L341" t="s">
        <v>23</v>
      </c>
      <c r="M341">
        <v>7335900</v>
      </c>
      <c r="N341" t="s">
        <v>545</v>
      </c>
      <c r="O341" t="s">
        <v>134</v>
      </c>
      <c r="P341" t="s">
        <v>490</v>
      </c>
    </row>
    <row r="342" spans="1:16">
      <c r="A342">
        <v>6</v>
      </c>
      <c r="B342" t="s">
        <v>920</v>
      </c>
      <c r="C342" t="s">
        <v>101</v>
      </c>
      <c r="D342" t="s">
        <v>546</v>
      </c>
      <c r="E342" t="s">
        <v>39</v>
      </c>
      <c r="F342">
        <v>422200</v>
      </c>
      <c r="G342" t="s">
        <v>541</v>
      </c>
      <c r="H342" t="s">
        <v>542</v>
      </c>
      <c r="I342" t="s">
        <v>543</v>
      </c>
      <c r="J342" t="s">
        <v>556</v>
      </c>
      <c r="K342">
        <v>2023</v>
      </c>
      <c r="L342" t="s">
        <v>23</v>
      </c>
      <c r="M342">
        <v>2322100</v>
      </c>
      <c r="N342" t="s">
        <v>545</v>
      </c>
      <c r="O342" t="s">
        <v>481</v>
      </c>
      <c r="P342" t="s">
        <v>490</v>
      </c>
    </row>
    <row r="343" spans="1:16">
      <c r="A343">
        <v>6</v>
      </c>
      <c r="B343" t="s">
        <v>920</v>
      </c>
      <c r="C343" t="s">
        <v>588</v>
      </c>
      <c r="D343" t="s">
        <v>548</v>
      </c>
      <c r="E343" t="s">
        <v>39</v>
      </c>
      <c r="F343">
        <v>506900</v>
      </c>
      <c r="G343" t="s">
        <v>541</v>
      </c>
      <c r="H343" t="s">
        <v>542</v>
      </c>
      <c r="I343" t="s">
        <v>543</v>
      </c>
      <c r="J343" t="s">
        <v>557</v>
      </c>
      <c r="K343">
        <v>2023</v>
      </c>
      <c r="L343" t="s">
        <v>23</v>
      </c>
      <c r="M343">
        <v>2787950</v>
      </c>
      <c r="N343" t="s">
        <v>545</v>
      </c>
      <c r="O343" t="s">
        <v>550</v>
      </c>
      <c r="P343" t="s">
        <v>490</v>
      </c>
    </row>
    <row r="344" spans="1:16">
      <c r="A344">
        <v>9</v>
      </c>
      <c r="B344" t="s">
        <v>919</v>
      </c>
      <c r="C344" t="s">
        <v>17</v>
      </c>
      <c r="D344" t="s">
        <v>102</v>
      </c>
      <c r="E344" t="s">
        <v>559</v>
      </c>
      <c r="F344">
        <v>259045</v>
      </c>
      <c r="G344" t="s">
        <v>560</v>
      </c>
      <c r="H344" t="s">
        <v>561</v>
      </c>
      <c r="I344" t="s">
        <v>562</v>
      </c>
      <c r="J344" t="s">
        <v>563</v>
      </c>
      <c r="K344">
        <v>2025</v>
      </c>
      <c r="L344" t="s">
        <v>23</v>
      </c>
      <c r="M344" s="2">
        <v>12434160</v>
      </c>
      <c r="N344" t="s">
        <v>564</v>
      </c>
      <c r="O344" t="s">
        <v>134</v>
      </c>
      <c r="P344" t="s">
        <v>490</v>
      </c>
    </row>
    <row r="345" spans="1:16">
      <c r="A345">
        <v>9</v>
      </c>
      <c r="B345" t="s">
        <v>919</v>
      </c>
      <c r="C345" t="s">
        <v>17</v>
      </c>
      <c r="D345" t="s">
        <v>107</v>
      </c>
      <c r="E345" t="s">
        <v>559</v>
      </c>
      <c r="F345">
        <v>108467</v>
      </c>
      <c r="G345" t="s">
        <v>560</v>
      </c>
      <c r="H345" t="s">
        <v>561</v>
      </c>
      <c r="I345" t="s">
        <v>562</v>
      </c>
      <c r="J345" t="s">
        <v>565</v>
      </c>
      <c r="K345">
        <v>2025</v>
      </c>
      <c r="L345" t="s">
        <v>27</v>
      </c>
      <c r="M345" s="2">
        <v>5206416</v>
      </c>
      <c r="N345" t="s">
        <v>564</v>
      </c>
      <c r="O345" t="s">
        <v>134</v>
      </c>
      <c r="P345" t="s">
        <v>490</v>
      </c>
    </row>
    <row r="346" spans="1:16">
      <c r="A346">
        <v>9</v>
      </c>
      <c r="B346" t="s">
        <v>919</v>
      </c>
      <c r="C346" t="s">
        <v>17</v>
      </c>
      <c r="D346" t="s">
        <v>109</v>
      </c>
      <c r="E346" t="s">
        <v>559</v>
      </c>
      <c r="F346">
        <v>41.9</v>
      </c>
      <c r="G346" t="s">
        <v>30</v>
      </c>
      <c r="H346" t="s">
        <v>561</v>
      </c>
      <c r="I346" t="s">
        <v>562</v>
      </c>
      <c r="J346" t="s">
        <v>566</v>
      </c>
      <c r="K346">
        <v>2025</v>
      </c>
      <c r="L346" t="s">
        <v>29</v>
      </c>
      <c r="M346" s="2">
        <v>41.9</v>
      </c>
      <c r="N346" t="s">
        <v>567</v>
      </c>
      <c r="O346" t="s">
        <v>134</v>
      </c>
      <c r="P346" t="s">
        <v>490</v>
      </c>
    </row>
    <row r="347" spans="1:16">
      <c r="A347">
        <v>9</v>
      </c>
      <c r="B347" t="s">
        <v>919</v>
      </c>
      <c r="C347" t="s">
        <v>463</v>
      </c>
      <c r="D347" t="s">
        <v>568</v>
      </c>
      <c r="E347" t="s">
        <v>559</v>
      </c>
      <c r="F347">
        <v>35351</v>
      </c>
      <c r="G347" t="s">
        <v>560</v>
      </c>
      <c r="H347" t="s">
        <v>561</v>
      </c>
      <c r="I347" t="s">
        <v>569</v>
      </c>
      <c r="J347" t="s">
        <v>570</v>
      </c>
      <c r="K347">
        <v>2025</v>
      </c>
      <c r="L347" t="s">
        <v>23</v>
      </c>
      <c r="M347" s="2">
        <v>1696848</v>
      </c>
      <c r="N347" t="s">
        <v>564</v>
      </c>
      <c r="O347" t="s">
        <v>463</v>
      </c>
      <c r="P347" t="s">
        <v>490</v>
      </c>
    </row>
    <row r="348" spans="1:16">
      <c r="A348">
        <v>9</v>
      </c>
      <c r="B348" t="s">
        <v>919</v>
      </c>
      <c r="C348" t="s">
        <v>463</v>
      </c>
      <c r="D348" t="s">
        <v>571</v>
      </c>
      <c r="E348" t="s">
        <v>559</v>
      </c>
      <c r="F348">
        <v>3565</v>
      </c>
      <c r="G348" t="s">
        <v>560</v>
      </c>
      <c r="H348" t="s">
        <v>561</v>
      </c>
      <c r="I348" t="s">
        <v>569</v>
      </c>
      <c r="J348" t="s">
        <v>572</v>
      </c>
      <c r="K348">
        <v>2025</v>
      </c>
      <c r="L348" t="s">
        <v>35</v>
      </c>
      <c r="M348" s="2">
        <v>171120</v>
      </c>
      <c r="N348" t="s">
        <v>564</v>
      </c>
      <c r="O348" t="s">
        <v>463</v>
      </c>
      <c r="P348" t="s">
        <v>490</v>
      </c>
    </row>
    <row r="349" spans="1:16">
      <c r="A349">
        <v>9</v>
      </c>
      <c r="B349" t="s">
        <v>919</v>
      </c>
      <c r="C349" t="s">
        <v>17</v>
      </c>
      <c r="D349" t="s">
        <v>102</v>
      </c>
      <c r="E349" t="s">
        <v>19</v>
      </c>
      <c r="F349">
        <v>240335</v>
      </c>
      <c r="G349" t="s">
        <v>560</v>
      </c>
      <c r="H349" t="s">
        <v>561</v>
      </c>
      <c r="I349" t="s">
        <v>562</v>
      </c>
      <c r="J349" t="s">
        <v>573</v>
      </c>
      <c r="K349">
        <v>2024</v>
      </c>
      <c r="L349" t="s">
        <v>23</v>
      </c>
      <c r="M349" s="2">
        <v>11536080</v>
      </c>
      <c r="N349" t="s">
        <v>564</v>
      </c>
      <c r="O349" t="s">
        <v>134</v>
      </c>
      <c r="P349" t="s">
        <v>490</v>
      </c>
    </row>
    <row r="350" spans="1:16">
      <c r="A350">
        <v>9</v>
      </c>
      <c r="B350" t="s">
        <v>919</v>
      </c>
      <c r="C350" t="s">
        <v>17</v>
      </c>
      <c r="D350" t="s">
        <v>107</v>
      </c>
      <c r="E350" t="s">
        <v>19</v>
      </c>
      <c r="F350">
        <v>98558</v>
      </c>
      <c r="G350" t="s">
        <v>560</v>
      </c>
      <c r="H350" t="s">
        <v>561</v>
      </c>
      <c r="I350" t="s">
        <v>562</v>
      </c>
      <c r="J350" t="s">
        <v>574</v>
      </c>
      <c r="K350">
        <v>2024</v>
      </c>
      <c r="L350" t="s">
        <v>27</v>
      </c>
      <c r="M350" s="2">
        <v>4827456</v>
      </c>
      <c r="N350" t="s">
        <v>564</v>
      </c>
      <c r="O350" t="s">
        <v>134</v>
      </c>
      <c r="P350" t="s">
        <v>490</v>
      </c>
    </row>
    <row r="351" spans="1:16">
      <c r="A351">
        <v>9</v>
      </c>
      <c r="B351" t="s">
        <v>919</v>
      </c>
      <c r="C351" t="s">
        <v>17</v>
      </c>
      <c r="D351" t="s">
        <v>109</v>
      </c>
      <c r="E351" t="s">
        <v>19</v>
      </c>
      <c r="F351">
        <f>F350/F349*100</f>
        <v>41.008592173424596</v>
      </c>
      <c r="G351" t="s">
        <v>30</v>
      </c>
      <c r="H351" t="s">
        <v>561</v>
      </c>
      <c r="I351" t="s">
        <v>562</v>
      </c>
      <c r="J351" t="s">
        <v>575</v>
      </c>
      <c r="K351">
        <v>2024</v>
      </c>
      <c r="L351" t="s">
        <v>29</v>
      </c>
      <c r="M351" s="2">
        <v>41.8</v>
      </c>
      <c r="N351" t="s">
        <v>567</v>
      </c>
      <c r="O351" t="s">
        <v>134</v>
      </c>
      <c r="P351" t="s">
        <v>490</v>
      </c>
    </row>
    <row r="352" spans="1:16">
      <c r="A352">
        <v>9</v>
      </c>
      <c r="B352" t="s">
        <v>919</v>
      </c>
      <c r="C352" t="s">
        <v>463</v>
      </c>
      <c r="D352" t="s">
        <v>568</v>
      </c>
      <c r="E352" t="s">
        <v>19</v>
      </c>
      <c r="F352">
        <v>33314</v>
      </c>
      <c r="G352" t="s">
        <v>560</v>
      </c>
      <c r="H352" t="s">
        <v>561</v>
      </c>
      <c r="I352" t="s">
        <v>569</v>
      </c>
      <c r="J352" t="s">
        <v>576</v>
      </c>
      <c r="K352">
        <v>2024</v>
      </c>
      <c r="L352" t="s">
        <v>23</v>
      </c>
      <c r="M352" s="2">
        <v>1599072</v>
      </c>
      <c r="N352" t="s">
        <v>564</v>
      </c>
      <c r="O352" t="s">
        <v>463</v>
      </c>
      <c r="P352" t="s">
        <v>490</v>
      </c>
    </row>
    <row r="353" spans="1:17">
      <c r="A353">
        <v>9</v>
      </c>
      <c r="B353" t="s">
        <v>919</v>
      </c>
      <c r="C353" t="s">
        <v>463</v>
      </c>
      <c r="D353" t="s">
        <v>571</v>
      </c>
      <c r="E353" t="s">
        <v>19</v>
      </c>
      <c r="F353">
        <v>4038</v>
      </c>
      <c r="G353" t="s">
        <v>560</v>
      </c>
      <c r="H353" t="s">
        <v>561</v>
      </c>
      <c r="I353" t="s">
        <v>569</v>
      </c>
      <c r="J353" t="s">
        <v>577</v>
      </c>
      <c r="K353">
        <v>2024</v>
      </c>
      <c r="L353" t="s">
        <v>35</v>
      </c>
      <c r="M353" s="2">
        <v>193824</v>
      </c>
      <c r="N353" t="s">
        <v>564</v>
      </c>
      <c r="O353" t="s">
        <v>463</v>
      </c>
      <c r="P353" t="s">
        <v>490</v>
      </c>
    </row>
    <row r="354" spans="1:17">
      <c r="A354">
        <v>9</v>
      </c>
      <c r="B354" t="s">
        <v>919</v>
      </c>
      <c r="C354" t="s">
        <v>17</v>
      </c>
      <c r="D354" t="s">
        <v>102</v>
      </c>
      <c r="E354" t="s">
        <v>39</v>
      </c>
      <c r="F354">
        <v>229711</v>
      </c>
      <c r="G354" t="s">
        <v>560</v>
      </c>
      <c r="H354" t="s">
        <v>561</v>
      </c>
      <c r="I354" t="s">
        <v>562</v>
      </c>
      <c r="J354" t="s">
        <v>578</v>
      </c>
      <c r="K354">
        <v>2023</v>
      </c>
      <c r="L354" t="s">
        <v>23</v>
      </c>
      <c r="M354" s="2">
        <v>11026128</v>
      </c>
      <c r="N354" t="s">
        <v>564</v>
      </c>
      <c r="O354" t="s">
        <v>134</v>
      </c>
      <c r="P354" t="s">
        <v>490</v>
      </c>
    </row>
    <row r="355" spans="1:17">
      <c r="A355">
        <v>9</v>
      </c>
      <c r="B355" t="s">
        <v>919</v>
      </c>
      <c r="C355" t="s">
        <v>17</v>
      </c>
      <c r="D355" t="s">
        <v>107</v>
      </c>
      <c r="E355" t="s">
        <v>39</v>
      </c>
      <c r="F355">
        <v>90946</v>
      </c>
      <c r="G355" t="s">
        <v>560</v>
      </c>
      <c r="H355" t="s">
        <v>561</v>
      </c>
      <c r="I355" t="s">
        <v>562</v>
      </c>
      <c r="J355" t="s">
        <v>579</v>
      </c>
      <c r="K355">
        <v>2023</v>
      </c>
      <c r="L355" t="s">
        <v>27</v>
      </c>
      <c r="M355" s="2">
        <v>4466352</v>
      </c>
      <c r="N355" t="s">
        <v>564</v>
      </c>
      <c r="O355" t="s">
        <v>134</v>
      </c>
      <c r="P355" t="s">
        <v>490</v>
      </c>
    </row>
    <row r="356" spans="1:17">
      <c r="A356">
        <v>9</v>
      </c>
      <c r="B356" t="s">
        <v>919</v>
      </c>
      <c r="C356" t="s">
        <v>17</v>
      </c>
      <c r="D356" t="s">
        <v>109</v>
      </c>
      <c r="E356" t="s">
        <v>39</v>
      </c>
      <c r="F356">
        <f>F355/F354*100</f>
        <v>39.591486694150476</v>
      </c>
      <c r="G356" t="s">
        <v>30</v>
      </c>
      <c r="H356" t="s">
        <v>561</v>
      </c>
      <c r="I356" t="s">
        <v>562</v>
      </c>
      <c r="J356" t="s">
        <v>580</v>
      </c>
      <c r="K356">
        <v>2023</v>
      </c>
      <c r="L356" t="s">
        <v>29</v>
      </c>
      <c r="M356" s="2">
        <v>40.5</v>
      </c>
      <c r="N356" t="s">
        <v>567</v>
      </c>
      <c r="O356" t="s">
        <v>134</v>
      </c>
      <c r="P356" t="s">
        <v>490</v>
      </c>
    </row>
    <row r="357" spans="1:17">
      <c r="A357">
        <v>9</v>
      </c>
      <c r="B357" t="s">
        <v>919</v>
      </c>
      <c r="C357" t="s">
        <v>463</v>
      </c>
      <c r="D357" t="s">
        <v>568</v>
      </c>
      <c r="E357" t="s">
        <v>39</v>
      </c>
      <c r="F357">
        <v>28845</v>
      </c>
      <c r="G357" t="s">
        <v>560</v>
      </c>
      <c r="H357" t="s">
        <v>561</v>
      </c>
      <c r="I357" t="s">
        <v>569</v>
      </c>
      <c r="J357" t="s">
        <v>581</v>
      </c>
      <c r="K357">
        <v>2023</v>
      </c>
      <c r="L357" t="s">
        <v>23</v>
      </c>
      <c r="M357" s="2">
        <v>1384560</v>
      </c>
      <c r="N357" t="s">
        <v>564</v>
      </c>
      <c r="O357" t="s">
        <v>463</v>
      </c>
      <c r="P357" t="s">
        <v>490</v>
      </c>
    </row>
    <row r="358" spans="1:17">
      <c r="A358">
        <v>9</v>
      </c>
      <c r="B358" t="s">
        <v>919</v>
      </c>
      <c r="C358" t="s">
        <v>463</v>
      </c>
      <c r="D358" t="s">
        <v>571</v>
      </c>
      <c r="E358" t="s">
        <v>39</v>
      </c>
      <c r="F358">
        <v>2282</v>
      </c>
      <c r="G358" t="s">
        <v>560</v>
      </c>
      <c r="H358" t="s">
        <v>561</v>
      </c>
      <c r="I358" t="s">
        <v>569</v>
      </c>
      <c r="J358" t="s">
        <v>582</v>
      </c>
      <c r="K358">
        <v>2023</v>
      </c>
      <c r="L358" t="s">
        <v>35</v>
      </c>
      <c r="M358" s="2">
        <v>109536</v>
      </c>
      <c r="N358" t="s">
        <v>564</v>
      </c>
      <c r="O358" t="s">
        <v>463</v>
      </c>
      <c r="P358" t="s">
        <v>490</v>
      </c>
    </row>
    <row r="359" spans="1:17">
      <c r="A359">
        <v>11</v>
      </c>
      <c r="B359" t="s">
        <v>147</v>
      </c>
      <c r="C359" t="s">
        <v>463</v>
      </c>
      <c r="D359" t="s">
        <v>591</v>
      </c>
      <c r="E359" t="s">
        <v>51</v>
      </c>
      <c r="F359">
        <v>19472389</v>
      </c>
      <c r="G359" t="s">
        <v>592</v>
      </c>
      <c r="H359" t="s">
        <v>593</v>
      </c>
      <c r="I359">
        <v>86</v>
      </c>
      <c r="J359" t="s">
        <v>594</v>
      </c>
      <c r="K359">
        <v>2025</v>
      </c>
      <c r="L359" t="s">
        <v>23</v>
      </c>
      <c r="M359" s="2">
        <v>4478649.47</v>
      </c>
      <c r="N359" t="s">
        <v>595</v>
      </c>
      <c r="O359" t="s">
        <v>463</v>
      </c>
      <c r="P359" t="s">
        <v>590</v>
      </c>
      <c r="Q359" t="s">
        <v>624</v>
      </c>
    </row>
    <row r="360" spans="1:17">
      <c r="A360">
        <v>11</v>
      </c>
      <c r="B360" t="s">
        <v>147</v>
      </c>
      <c r="C360" t="s">
        <v>463</v>
      </c>
      <c r="D360" t="s">
        <v>591</v>
      </c>
      <c r="E360" t="s">
        <v>57</v>
      </c>
      <c r="F360">
        <v>30950178</v>
      </c>
      <c r="G360" t="s">
        <v>592</v>
      </c>
      <c r="H360" t="s">
        <v>596</v>
      </c>
      <c r="I360">
        <v>93</v>
      </c>
      <c r="J360" t="s">
        <v>597</v>
      </c>
      <c r="K360">
        <v>2024</v>
      </c>
      <c r="L360" t="s">
        <v>23</v>
      </c>
      <c r="M360" s="2">
        <v>7118540.9400000004</v>
      </c>
      <c r="N360" t="s">
        <v>595</v>
      </c>
      <c r="O360" t="s">
        <v>463</v>
      </c>
      <c r="P360" t="s">
        <v>590</v>
      </c>
      <c r="Q360" t="s">
        <v>624</v>
      </c>
    </row>
    <row r="361" spans="1:17">
      <c r="A361">
        <v>13</v>
      </c>
      <c r="B361" t="s">
        <v>144</v>
      </c>
      <c r="C361" t="s">
        <v>463</v>
      </c>
      <c r="D361" t="s">
        <v>591</v>
      </c>
      <c r="E361" t="s">
        <v>617</v>
      </c>
      <c r="F361">
        <v>1403193</v>
      </c>
      <c r="G361" t="s">
        <v>130</v>
      </c>
      <c r="H361" t="s">
        <v>598</v>
      </c>
      <c r="I361" t="s">
        <v>599</v>
      </c>
      <c r="J361" t="s">
        <v>600</v>
      </c>
      <c r="K361">
        <v>2025</v>
      </c>
      <c r="L361" t="s">
        <v>23</v>
      </c>
      <c r="M361" s="2">
        <v>10102989.6</v>
      </c>
      <c r="N361" t="s">
        <v>133</v>
      </c>
      <c r="O361" t="s">
        <v>463</v>
      </c>
      <c r="P361" t="s">
        <v>590</v>
      </c>
    </row>
    <row r="362" spans="1:17">
      <c r="A362">
        <v>13</v>
      </c>
      <c r="B362" t="s">
        <v>144</v>
      </c>
      <c r="C362" t="s">
        <v>463</v>
      </c>
      <c r="D362" t="s">
        <v>591</v>
      </c>
      <c r="E362" t="s">
        <v>618</v>
      </c>
      <c r="F362">
        <v>1422705</v>
      </c>
      <c r="G362" t="s">
        <v>130</v>
      </c>
      <c r="H362" t="s">
        <v>598</v>
      </c>
      <c r="I362" t="s">
        <v>601</v>
      </c>
      <c r="J362" t="s">
        <v>602</v>
      </c>
      <c r="K362">
        <v>2024</v>
      </c>
      <c r="L362" t="s">
        <v>23</v>
      </c>
      <c r="M362" s="2">
        <v>10243476</v>
      </c>
      <c r="N362" t="s">
        <v>133</v>
      </c>
      <c r="O362" t="s">
        <v>463</v>
      </c>
      <c r="P362" t="s">
        <v>590</v>
      </c>
    </row>
    <row r="363" spans="1:17">
      <c r="A363">
        <v>13</v>
      </c>
      <c r="B363" t="s">
        <v>144</v>
      </c>
      <c r="C363" t="s">
        <v>463</v>
      </c>
      <c r="D363" t="s">
        <v>591</v>
      </c>
      <c r="E363" t="s">
        <v>619</v>
      </c>
      <c r="F363">
        <v>1403264</v>
      </c>
      <c r="G363" t="s">
        <v>130</v>
      </c>
      <c r="H363" t="s">
        <v>603</v>
      </c>
      <c r="I363" t="s">
        <v>601</v>
      </c>
      <c r="J363" t="s">
        <v>604</v>
      </c>
      <c r="K363">
        <v>2023</v>
      </c>
      <c r="L363" t="s">
        <v>23</v>
      </c>
      <c r="M363" s="2">
        <v>10103500.800000001</v>
      </c>
      <c r="N363" t="s">
        <v>133</v>
      </c>
      <c r="O363" t="s">
        <v>463</v>
      </c>
      <c r="P363" t="s">
        <v>590</v>
      </c>
    </row>
    <row r="364" spans="1:17">
      <c r="A364">
        <v>19</v>
      </c>
      <c r="B364" t="s">
        <v>1156</v>
      </c>
      <c r="C364" t="s">
        <v>101</v>
      </c>
      <c r="D364" t="s">
        <v>606</v>
      </c>
      <c r="E364" t="s">
        <v>51</v>
      </c>
      <c r="F364">
        <v>2793000</v>
      </c>
      <c r="G364" t="s">
        <v>607</v>
      </c>
      <c r="H364" t="s">
        <v>608</v>
      </c>
      <c r="I364" t="s">
        <v>609</v>
      </c>
      <c r="J364" t="s">
        <v>610</v>
      </c>
      <c r="K364">
        <v>2025</v>
      </c>
      <c r="L364" t="s">
        <v>23</v>
      </c>
      <c r="M364">
        <v>2793000</v>
      </c>
      <c r="N364" t="s">
        <v>611</v>
      </c>
      <c r="O364" t="s">
        <v>101</v>
      </c>
      <c r="P364" t="s">
        <v>612</v>
      </c>
    </row>
    <row r="365" spans="1:17">
      <c r="A365">
        <v>19</v>
      </c>
      <c r="B365" t="s">
        <v>1156</v>
      </c>
      <c r="C365" t="s">
        <v>101</v>
      </c>
      <c r="D365" t="s">
        <v>606</v>
      </c>
      <c r="E365" t="s">
        <v>57</v>
      </c>
      <c r="F365">
        <v>1766100</v>
      </c>
      <c r="G365" t="s">
        <v>607</v>
      </c>
      <c r="H365" t="s">
        <v>608</v>
      </c>
      <c r="I365" t="s">
        <v>609</v>
      </c>
      <c r="J365" t="s">
        <v>613</v>
      </c>
      <c r="K365">
        <v>2024</v>
      </c>
      <c r="L365" t="s">
        <v>23</v>
      </c>
      <c r="M365">
        <v>1766100</v>
      </c>
      <c r="N365" t="s">
        <v>611</v>
      </c>
      <c r="O365" t="s">
        <v>101</v>
      </c>
      <c r="P365" t="s">
        <v>612</v>
      </c>
    </row>
    <row r="366" spans="1:17">
      <c r="A366">
        <v>19</v>
      </c>
      <c r="B366" t="s">
        <v>1156</v>
      </c>
      <c r="C366" t="s">
        <v>101</v>
      </c>
      <c r="D366" t="s">
        <v>606</v>
      </c>
      <c r="E366" t="s">
        <v>62</v>
      </c>
      <c r="F366">
        <v>908100</v>
      </c>
      <c r="G366" t="s">
        <v>607</v>
      </c>
      <c r="H366" t="s">
        <v>608</v>
      </c>
      <c r="I366" t="s">
        <v>609</v>
      </c>
      <c r="J366" t="s">
        <v>614</v>
      </c>
      <c r="K366">
        <v>2023</v>
      </c>
      <c r="L366" t="s">
        <v>23</v>
      </c>
      <c r="M366">
        <v>908100</v>
      </c>
      <c r="N366" t="s">
        <v>611</v>
      </c>
      <c r="O366" t="s">
        <v>101</v>
      </c>
      <c r="P366" t="s">
        <v>612</v>
      </c>
    </row>
    <row r="367" spans="1:17">
      <c r="A367">
        <v>11</v>
      </c>
      <c r="B367" t="s">
        <v>147</v>
      </c>
      <c r="C367" t="s">
        <v>463</v>
      </c>
      <c r="D367" t="s">
        <v>591</v>
      </c>
      <c r="E367" t="s">
        <v>62</v>
      </c>
      <c r="F367">
        <v>28802022</v>
      </c>
      <c r="G367" t="s">
        <v>592</v>
      </c>
      <c r="H367" t="s">
        <v>615</v>
      </c>
      <c r="I367">
        <v>106</v>
      </c>
      <c r="J367" t="s">
        <v>616</v>
      </c>
      <c r="K367">
        <v>2023</v>
      </c>
      <c r="L367" t="s">
        <v>23</v>
      </c>
      <c r="M367" s="2">
        <v>6624465.0600000015</v>
      </c>
      <c r="N367" t="s">
        <v>595</v>
      </c>
      <c r="O367" t="s">
        <v>463</v>
      </c>
      <c r="P367" t="s">
        <v>612</v>
      </c>
      <c r="Q367" t="s">
        <v>624</v>
      </c>
    </row>
    <row r="368" spans="1:17" ht="15">
      <c r="A368">
        <v>16</v>
      </c>
      <c r="B368" t="s">
        <v>913</v>
      </c>
      <c r="C368" s="13" t="s">
        <v>1165</v>
      </c>
      <c r="D368" s="9" t="s">
        <v>18</v>
      </c>
      <c r="E368" s="9" t="s">
        <v>51</v>
      </c>
      <c r="F368">
        <v>11145829</v>
      </c>
      <c r="G368" s="9" t="s">
        <v>358</v>
      </c>
      <c r="H368" s="9" t="s">
        <v>68</v>
      </c>
      <c r="I368" s="9">
        <v>8</v>
      </c>
      <c r="J368" s="9" t="s">
        <v>626</v>
      </c>
      <c r="K368" s="9">
        <v>2025</v>
      </c>
      <c r="L368" s="9" t="s">
        <v>23</v>
      </c>
      <c r="M368" s="9">
        <v>11145829</v>
      </c>
      <c r="N368" s="9" t="s">
        <v>627</v>
      </c>
      <c r="O368" s="9" t="s">
        <v>25</v>
      </c>
      <c r="P368" s="10">
        <v>46178</v>
      </c>
    </row>
    <row r="369" spans="1:16">
      <c r="A369">
        <v>16</v>
      </c>
      <c r="B369" t="s">
        <v>913</v>
      </c>
      <c r="C369" s="9" t="s">
        <v>625</v>
      </c>
      <c r="D369" s="9" t="s">
        <v>27</v>
      </c>
      <c r="E369" s="9" t="s">
        <v>51</v>
      </c>
      <c r="F369">
        <v>4628536</v>
      </c>
      <c r="G369" s="9" t="s">
        <v>358</v>
      </c>
      <c r="H369" s="9" t="s">
        <v>68</v>
      </c>
      <c r="I369" s="9">
        <v>8</v>
      </c>
      <c r="J369" s="9" t="s">
        <v>628</v>
      </c>
      <c r="K369" s="9">
        <v>2025</v>
      </c>
      <c r="L369" t="s">
        <v>27</v>
      </c>
      <c r="M369" s="9">
        <v>4628536</v>
      </c>
      <c r="N369" s="9" t="s">
        <v>627</v>
      </c>
      <c r="O369" s="9" t="s">
        <v>25</v>
      </c>
      <c r="P369" s="10">
        <v>46178</v>
      </c>
    </row>
    <row r="370" spans="1:16">
      <c r="A370">
        <v>16</v>
      </c>
      <c r="B370" t="s">
        <v>913</v>
      </c>
      <c r="C370" s="9" t="s">
        <v>625</v>
      </c>
      <c r="D370" s="9" t="s">
        <v>29</v>
      </c>
      <c r="E370" s="9" t="s">
        <v>51</v>
      </c>
      <c r="F370">
        <v>41.5</v>
      </c>
      <c r="G370" s="9" t="s">
        <v>30</v>
      </c>
      <c r="H370" s="9" t="s">
        <v>68</v>
      </c>
      <c r="I370" s="9">
        <v>8</v>
      </c>
      <c r="J370" s="9" t="s">
        <v>629</v>
      </c>
      <c r="K370" s="9">
        <v>2025</v>
      </c>
      <c r="L370" s="9" t="s">
        <v>29</v>
      </c>
      <c r="M370" s="9">
        <v>41.5</v>
      </c>
      <c r="N370" s="9" t="s">
        <v>627</v>
      </c>
      <c r="O370" s="9" t="s">
        <v>25</v>
      </c>
      <c r="P370" s="10">
        <v>46178</v>
      </c>
    </row>
    <row r="371" spans="1:16">
      <c r="A371">
        <v>16</v>
      </c>
      <c r="B371" t="s">
        <v>913</v>
      </c>
      <c r="C371" s="9" t="s">
        <v>625</v>
      </c>
      <c r="D371" s="9" t="s">
        <v>36</v>
      </c>
      <c r="E371" s="9" t="s">
        <v>51</v>
      </c>
      <c r="F371">
        <v>11.7</v>
      </c>
      <c r="G371" s="9" t="s">
        <v>30</v>
      </c>
      <c r="H371" s="9" t="s">
        <v>68</v>
      </c>
      <c r="I371" s="9">
        <v>8</v>
      </c>
      <c r="J371" s="9" t="s">
        <v>630</v>
      </c>
      <c r="K371" s="9">
        <v>2025</v>
      </c>
      <c r="L371" s="9" t="s">
        <v>36</v>
      </c>
      <c r="M371" s="9">
        <v>11.7</v>
      </c>
      <c r="N371" s="9" t="s">
        <v>627</v>
      </c>
      <c r="O371" s="9" t="s">
        <v>25</v>
      </c>
      <c r="P371" s="10">
        <v>46178</v>
      </c>
    </row>
    <row r="372" spans="1:16" ht="15">
      <c r="A372">
        <v>16</v>
      </c>
      <c r="B372" t="s">
        <v>913</v>
      </c>
      <c r="C372" s="9" t="s">
        <v>625</v>
      </c>
      <c r="D372" s="9" t="s">
        <v>282</v>
      </c>
      <c r="E372" s="9" t="s">
        <v>51</v>
      </c>
      <c r="F372">
        <v>22.3</v>
      </c>
      <c r="G372" s="9" t="s">
        <v>30</v>
      </c>
      <c r="H372" s="9" t="s">
        <v>68</v>
      </c>
      <c r="I372" s="9">
        <v>9</v>
      </c>
      <c r="J372" s="9" t="s">
        <v>631</v>
      </c>
      <c r="K372" s="9">
        <v>2025</v>
      </c>
      <c r="L372" s="13" t="s">
        <v>822</v>
      </c>
      <c r="M372" s="9">
        <v>22.3</v>
      </c>
      <c r="N372" s="9" t="s">
        <v>632</v>
      </c>
      <c r="O372" s="9" t="s">
        <v>25</v>
      </c>
      <c r="P372" s="10">
        <v>46178</v>
      </c>
    </row>
    <row r="373" spans="1:16" ht="15">
      <c r="A373">
        <v>16</v>
      </c>
      <c r="B373" t="s">
        <v>913</v>
      </c>
      <c r="C373" s="13" t="s">
        <v>1165</v>
      </c>
      <c r="D373" s="9" t="s">
        <v>18</v>
      </c>
      <c r="E373" s="9" t="s">
        <v>57</v>
      </c>
      <c r="F373">
        <v>10073510</v>
      </c>
      <c r="G373" s="9" t="s">
        <v>358</v>
      </c>
      <c r="H373" s="9" t="s">
        <v>68</v>
      </c>
      <c r="I373" s="9">
        <v>8</v>
      </c>
      <c r="J373" s="9" t="s">
        <v>633</v>
      </c>
      <c r="K373" s="9">
        <v>2024</v>
      </c>
      <c r="L373" s="9" t="s">
        <v>23</v>
      </c>
      <c r="M373" s="9">
        <v>10073510</v>
      </c>
      <c r="N373" s="9" t="s">
        <v>627</v>
      </c>
      <c r="O373" s="9" t="s">
        <v>25</v>
      </c>
      <c r="P373" s="10">
        <v>46178</v>
      </c>
    </row>
    <row r="374" spans="1:16">
      <c r="A374">
        <v>16</v>
      </c>
      <c r="B374" t="s">
        <v>913</v>
      </c>
      <c r="C374" s="9" t="s">
        <v>625</v>
      </c>
      <c r="D374" s="9" t="s">
        <v>27</v>
      </c>
      <c r="E374" s="9" t="s">
        <v>57</v>
      </c>
      <c r="F374">
        <v>4183292</v>
      </c>
      <c r="G374" s="9" t="s">
        <v>358</v>
      </c>
      <c r="H374" s="9" t="s">
        <v>68</v>
      </c>
      <c r="I374" s="9">
        <v>8</v>
      </c>
      <c r="J374" s="9" t="s">
        <v>634</v>
      </c>
      <c r="K374" s="9">
        <v>2024</v>
      </c>
      <c r="L374" t="s">
        <v>27</v>
      </c>
      <c r="M374" s="9">
        <v>4183292</v>
      </c>
      <c r="N374" s="9" t="s">
        <v>627</v>
      </c>
      <c r="O374" s="9" t="s">
        <v>25</v>
      </c>
      <c r="P374" s="10">
        <v>46178</v>
      </c>
    </row>
    <row r="375" spans="1:16">
      <c r="A375">
        <v>16</v>
      </c>
      <c r="B375" t="s">
        <v>913</v>
      </c>
      <c r="C375" s="9" t="s">
        <v>625</v>
      </c>
      <c r="D375" s="9" t="s">
        <v>29</v>
      </c>
      <c r="E375" s="9" t="s">
        <v>57</v>
      </c>
      <c r="F375">
        <v>41.5</v>
      </c>
      <c r="G375" s="9" t="s">
        <v>30</v>
      </c>
      <c r="H375" s="9" t="s">
        <v>68</v>
      </c>
      <c r="I375" s="9">
        <v>8</v>
      </c>
      <c r="J375" s="9" t="s">
        <v>629</v>
      </c>
      <c r="K375" s="9">
        <v>2024</v>
      </c>
      <c r="L375" s="9" t="s">
        <v>29</v>
      </c>
      <c r="M375" s="9">
        <v>41.5</v>
      </c>
      <c r="N375" s="9" t="s">
        <v>627</v>
      </c>
      <c r="O375" s="9" t="s">
        <v>25</v>
      </c>
      <c r="P375" s="10">
        <v>46178</v>
      </c>
    </row>
    <row r="376" spans="1:16">
      <c r="A376">
        <v>16</v>
      </c>
      <c r="B376" t="s">
        <v>913</v>
      </c>
      <c r="C376" s="9" t="s">
        <v>625</v>
      </c>
      <c r="D376" s="9" t="s">
        <v>36</v>
      </c>
      <c r="E376" s="9" t="s">
        <v>57</v>
      </c>
      <c r="F376">
        <v>11.4</v>
      </c>
      <c r="G376" s="9" t="s">
        <v>30</v>
      </c>
      <c r="H376" s="9" t="s">
        <v>68</v>
      </c>
      <c r="I376" s="9">
        <v>8</v>
      </c>
      <c r="J376" s="9" t="s">
        <v>635</v>
      </c>
      <c r="K376" s="9">
        <v>2024</v>
      </c>
      <c r="L376" s="9" t="s">
        <v>36</v>
      </c>
      <c r="M376" s="9">
        <v>11.4</v>
      </c>
      <c r="N376" s="9" t="s">
        <v>627</v>
      </c>
      <c r="O376" s="9" t="s">
        <v>25</v>
      </c>
      <c r="P376" s="10">
        <v>46178</v>
      </c>
    </row>
    <row r="377" spans="1:16" ht="15">
      <c r="A377">
        <v>16</v>
      </c>
      <c r="B377" t="s">
        <v>913</v>
      </c>
      <c r="C377" s="9" t="s">
        <v>625</v>
      </c>
      <c r="D377" s="9" t="s">
        <v>282</v>
      </c>
      <c r="E377" s="9" t="s">
        <v>57</v>
      </c>
      <c r="F377">
        <v>24.7</v>
      </c>
      <c r="G377" s="9" t="s">
        <v>30</v>
      </c>
      <c r="H377" s="9" t="s">
        <v>68</v>
      </c>
      <c r="I377" s="9">
        <v>9</v>
      </c>
      <c r="J377" s="9" t="s">
        <v>636</v>
      </c>
      <c r="K377" s="9">
        <v>2024</v>
      </c>
      <c r="L377" s="13" t="s">
        <v>822</v>
      </c>
      <c r="M377" s="9">
        <v>24.7</v>
      </c>
      <c r="N377" s="9" t="s">
        <v>637</v>
      </c>
      <c r="O377" s="9" t="s">
        <v>25</v>
      </c>
      <c r="P377" s="10">
        <v>46178</v>
      </c>
    </row>
    <row r="378" spans="1:16" ht="15">
      <c r="A378">
        <v>16</v>
      </c>
      <c r="B378" t="s">
        <v>913</v>
      </c>
      <c r="C378" s="13" t="s">
        <v>1165</v>
      </c>
      <c r="D378" s="9" t="s">
        <v>18</v>
      </c>
      <c r="E378" s="9" t="s">
        <v>62</v>
      </c>
      <c r="F378">
        <v>8423257</v>
      </c>
      <c r="G378" s="9" t="s">
        <v>358</v>
      </c>
      <c r="H378" s="9" t="s">
        <v>68</v>
      </c>
      <c r="I378" s="9">
        <v>8</v>
      </c>
      <c r="J378" s="9" t="s">
        <v>638</v>
      </c>
      <c r="K378" s="9">
        <v>2023</v>
      </c>
      <c r="L378" s="9" t="s">
        <v>23</v>
      </c>
      <c r="M378" s="9">
        <v>8423257</v>
      </c>
      <c r="N378" s="9" t="s">
        <v>627</v>
      </c>
      <c r="O378" s="9" t="s">
        <v>25</v>
      </c>
      <c r="P378" s="10">
        <v>46178</v>
      </c>
    </row>
    <row r="379" spans="1:16">
      <c r="A379">
        <v>16</v>
      </c>
      <c r="B379" t="s">
        <v>913</v>
      </c>
      <c r="C379" s="9" t="s">
        <v>625</v>
      </c>
      <c r="D379" s="9" t="s">
        <v>27</v>
      </c>
      <c r="E379" s="9" t="s">
        <v>62</v>
      </c>
      <c r="F379">
        <v>3462155</v>
      </c>
      <c r="G379" s="9" t="s">
        <v>358</v>
      </c>
      <c r="H379" s="9" t="s">
        <v>68</v>
      </c>
      <c r="I379" s="9">
        <v>8</v>
      </c>
      <c r="J379" s="9" t="s">
        <v>639</v>
      </c>
      <c r="K379" s="9">
        <v>2023</v>
      </c>
      <c r="L379" t="s">
        <v>27</v>
      </c>
      <c r="M379" s="9">
        <v>3462155</v>
      </c>
      <c r="N379" s="9" t="s">
        <v>627</v>
      </c>
      <c r="O379" s="9" t="s">
        <v>25</v>
      </c>
      <c r="P379" s="10">
        <v>46178</v>
      </c>
    </row>
    <row r="380" spans="1:16">
      <c r="A380">
        <v>16</v>
      </c>
      <c r="B380" t="s">
        <v>913</v>
      </c>
      <c r="C380" s="9" t="s">
        <v>625</v>
      </c>
      <c r="D380" s="9" t="s">
        <v>29</v>
      </c>
      <c r="E380" s="9" t="s">
        <v>62</v>
      </c>
      <c r="F380">
        <v>41.1</v>
      </c>
      <c r="G380" s="9" t="s">
        <v>30</v>
      </c>
      <c r="H380" s="9" t="s">
        <v>68</v>
      </c>
      <c r="I380" s="9">
        <v>8</v>
      </c>
      <c r="J380" s="9" t="s">
        <v>640</v>
      </c>
      <c r="K380" s="9">
        <v>2023</v>
      </c>
      <c r="L380" s="9" t="s">
        <v>29</v>
      </c>
      <c r="M380" s="9">
        <v>41.1</v>
      </c>
      <c r="N380" s="9" t="s">
        <v>627</v>
      </c>
      <c r="O380" s="9" t="s">
        <v>25</v>
      </c>
      <c r="P380" s="10">
        <v>46178</v>
      </c>
    </row>
    <row r="381" spans="1:16">
      <c r="A381">
        <v>16</v>
      </c>
      <c r="B381" t="s">
        <v>913</v>
      </c>
      <c r="C381" s="9" t="s">
        <v>625</v>
      </c>
      <c r="D381" s="9" t="s">
        <v>36</v>
      </c>
      <c r="E381" s="9" t="s">
        <v>62</v>
      </c>
      <c r="F381">
        <v>11.4</v>
      </c>
      <c r="G381" s="9" t="s">
        <v>30</v>
      </c>
      <c r="H381" s="9" t="s">
        <v>68</v>
      </c>
      <c r="I381" s="9">
        <v>8</v>
      </c>
      <c r="J381" s="9" t="s">
        <v>635</v>
      </c>
      <c r="K381" s="9">
        <v>2023</v>
      </c>
      <c r="L381" s="9" t="s">
        <v>36</v>
      </c>
      <c r="M381" s="9">
        <v>11.4</v>
      </c>
      <c r="N381" s="9" t="s">
        <v>627</v>
      </c>
      <c r="O381" s="9" t="s">
        <v>25</v>
      </c>
      <c r="P381" s="10">
        <v>46178</v>
      </c>
    </row>
    <row r="382" spans="1:16" ht="15">
      <c r="A382">
        <v>16</v>
      </c>
      <c r="B382" t="s">
        <v>913</v>
      </c>
      <c r="C382" s="9" t="s">
        <v>625</v>
      </c>
      <c r="D382" s="9" t="s">
        <v>282</v>
      </c>
      <c r="E382" s="9" t="s">
        <v>62</v>
      </c>
      <c r="F382">
        <v>25.6</v>
      </c>
      <c r="G382" s="9" t="s">
        <v>30</v>
      </c>
      <c r="H382" s="9" t="s">
        <v>68</v>
      </c>
      <c r="I382" s="9">
        <v>9</v>
      </c>
      <c r="J382" s="9" t="s">
        <v>641</v>
      </c>
      <c r="K382" s="9">
        <v>2023</v>
      </c>
      <c r="L382" s="13" t="s">
        <v>822</v>
      </c>
      <c r="M382" s="9">
        <v>25.6</v>
      </c>
      <c r="N382" s="9" t="s">
        <v>642</v>
      </c>
      <c r="O382" s="9" t="s">
        <v>25</v>
      </c>
      <c r="P382" s="10">
        <v>46178</v>
      </c>
    </row>
    <row r="383" spans="1:16" ht="15">
      <c r="A383">
        <v>23</v>
      </c>
      <c r="B383" t="s">
        <v>917</v>
      </c>
      <c r="C383" s="13" t="s">
        <v>896</v>
      </c>
      <c r="D383" s="9" t="s">
        <v>23</v>
      </c>
      <c r="E383" s="9" t="s">
        <v>51</v>
      </c>
      <c r="F383">
        <v>1012027</v>
      </c>
      <c r="G383" s="9" t="s">
        <v>358</v>
      </c>
      <c r="H383" s="9" t="s">
        <v>86</v>
      </c>
      <c r="I383" s="9">
        <v>4</v>
      </c>
      <c r="J383" s="9" t="s">
        <v>643</v>
      </c>
      <c r="K383" s="9">
        <v>2025</v>
      </c>
      <c r="L383" s="9" t="s">
        <v>23</v>
      </c>
      <c r="M383" s="9">
        <v>1012027</v>
      </c>
      <c r="N383" s="9" t="s">
        <v>644</v>
      </c>
      <c r="O383" s="9" t="s">
        <v>25</v>
      </c>
      <c r="P383" s="10">
        <v>46178</v>
      </c>
    </row>
    <row r="384" spans="1:16" ht="15">
      <c r="A384">
        <v>23</v>
      </c>
      <c r="B384" t="s">
        <v>917</v>
      </c>
      <c r="C384" s="13" t="s">
        <v>896</v>
      </c>
      <c r="D384" s="9" t="s">
        <v>27</v>
      </c>
      <c r="E384" s="9" t="s">
        <v>51</v>
      </c>
      <c r="F384">
        <v>289504</v>
      </c>
      <c r="G384" s="9" t="s">
        <v>358</v>
      </c>
      <c r="H384" s="9" t="s">
        <v>86</v>
      </c>
      <c r="I384" s="9">
        <v>9</v>
      </c>
      <c r="J384" s="9" t="s">
        <v>645</v>
      </c>
      <c r="K384" s="9">
        <v>2025</v>
      </c>
      <c r="L384" t="s">
        <v>27</v>
      </c>
      <c r="M384" s="9">
        <v>289504</v>
      </c>
      <c r="N384" s="9" t="s">
        <v>646</v>
      </c>
      <c r="O384" s="9" t="s">
        <v>25</v>
      </c>
      <c r="P384" s="10">
        <v>46178</v>
      </c>
    </row>
    <row r="385" spans="1:16">
      <c r="A385">
        <v>23</v>
      </c>
      <c r="B385" t="s">
        <v>917</v>
      </c>
      <c r="C385" s="9" t="s">
        <v>898</v>
      </c>
      <c r="D385" s="9" t="s">
        <v>29</v>
      </c>
      <c r="E385" s="9" t="s">
        <v>51</v>
      </c>
      <c r="F385">
        <v>28.61</v>
      </c>
      <c r="G385" s="9" t="s">
        <v>30</v>
      </c>
      <c r="H385" s="9" t="s">
        <v>86</v>
      </c>
      <c r="I385" s="9">
        <v>9</v>
      </c>
      <c r="J385" s="9" t="s">
        <v>647</v>
      </c>
      <c r="K385" s="9">
        <v>2025</v>
      </c>
      <c r="L385" s="9" t="s">
        <v>29</v>
      </c>
      <c r="M385" s="9">
        <v>28.61</v>
      </c>
      <c r="N385" s="9" t="s">
        <v>648</v>
      </c>
      <c r="O385" s="9" t="s">
        <v>25</v>
      </c>
      <c r="P385" s="10">
        <v>46178</v>
      </c>
    </row>
    <row r="386" spans="1:16">
      <c r="A386">
        <v>23</v>
      </c>
      <c r="B386" t="s">
        <v>917</v>
      </c>
      <c r="C386" s="9" t="s">
        <v>898</v>
      </c>
      <c r="D386" s="9" t="s">
        <v>36</v>
      </c>
      <c r="E386" s="9" t="s">
        <v>51</v>
      </c>
      <c r="F386">
        <v>-3.38</v>
      </c>
      <c r="G386" s="9" t="s">
        <v>30</v>
      </c>
      <c r="H386" s="9" t="s">
        <v>86</v>
      </c>
      <c r="I386" s="9">
        <v>4</v>
      </c>
      <c r="J386" s="9" t="s">
        <v>649</v>
      </c>
      <c r="K386" s="9">
        <v>2025</v>
      </c>
      <c r="L386" s="9" t="s">
        <v>36</v>
      </c>
      <c r="M386" s="9">
        <v>-3.38</v>
      </c>
      <c r="N386" s="9" t="s">
        <v>650</v>
      </c>
      <c r="O386" s="9" t="s">
        <v>25</v>
      </c>
      <c r="P386" s="10">
        <v>46178</v>
      </c>
    </row>
    <row r="387" spans="1:16" ht="15">
      <c r="A387">
        <v>23</v>
      </c>
      <c r="B387" t="s">
        <v>917</v>
      </c>
      <c r="C387" s="9" t="s">
        <v>898</v>
      </c>
      <c r="D387" s="9" t="s">
        <v>203</v>
      </c>
      <c r="E387" s="9" t="s">
        <v>51</v>
      </c>
      <c r="F387">
        <v>25.68</v>
      </c>
      <c r="G387" s="9" t="s">
        <v>30</v>
      </c>
      <c r="H387" s="9" t="s">
        <v>86</v>
      </c>
      <c r="I387" s="9">
        <v>10</v>
      </c>
      <c r="J387" s="9" t="s">
        <v>651</v>
      </c>
      <c r="K387" s="9">
        <v>2025</v>
      </c>
      <c r="L387" s="13" t="s">
        <v>822</v>
      </c>
      <c r="M387" s="9">
        <v>25.68</v>
      </c>
      <c r="N387" s="9" t="s">
        <v>652</v>
      </c>
      <c r="O387" s="9" t="s">
        <v>25</v>
      </c>
      <c r="P387" s="10">
        <v>46178</v>
      </c>
    </row>
    <row r="388" spans="1:16" ht="15">
      <c r="A388">
        <v>23</v>
      </c>
      <c r="B388" t="s">
        <v>917</v>
      </c>
      <c r="C388" s="13" t="s">
        <v>896</v>
      </c>
      <c r="D388" s="9" t="s">
        <v>23</v>
      </c>
      <c r="E388" s="9" t="s">
        <v>51</v>
      </c>
      <c r="F388">
        <v>563907</v>
      </c>
      <c r="G388" s="9" t="s">
        <v>358</v>
      </c>
      <c r="H388" s="9" t="s">
        <v>86</v>
      </c>
      <c r="I388" s="9">
        <v>9</v>
      </c>
      <c r="J388" s="9" t="s">
        <v>653</v>
      </c>
      <c r="K388" s="9">
        <v>2025</v>
      </c>
      <c r="L388" s="9" t="s">
        <v>23</v>
      </c>
      <c r="M388" s="9">
        <v>563907</v>
      </c>
      <c r="N388" s="9" t="s">
        <v>654</v>
      </c>
      <c r="O388" s="9" t="s">
        <v>655</v>
      </c>
      <c r="P388" s="10">
        <v>46178</v>
      </c>
    </row>
    <row r="389" spans="1:16" ht="15">
      <c r="A389">
        <v>23</v>
      </c>
      <c r="B389" t="s">
        <v>917</v>
      </c>
      <c r="C389" s="13" t="s">
        <v>896</v>
      </c>
      <c r="D389" s="9" t="s">
        <v>29</v>
      </c>
      <c r="E389" s="9" t="s">
        <v>51</v>
      </c>
      <c r="F389">
        <v>26.62</v>
      </c>
      <c r="G389" s="9" t="s">
        <v>30</v>
      </c>
      <c r="H389" s="9" t="s">
        <v>86</v>
      </c>
      <c r="I389" s="9">
        <v>9</v>
      </c>
      <c r="J389" s="9" t="s">
        <v>656</v>
      </c>
      <c r="K389" s="9">
        <v>2025</v>
      </c>
      <c r="L389" s="9" t="s">
        <v>29</v>
      </c>
      <c r="M389" s="9">
        <v>26.62</v>
      </c>
      <c r="N389" s="9" t="s">
        <v>657</v>
      </c>
      <c r="O389" s="9" t="s">
        <v>655</v>
      </c>
      <c r="P389" s="10">
        <v>46178</v>
      </c>
    </row>
    <row r="390" spans="1:16" ht="16.5">
      <c r="A390">
        <v>23</v>
      </c>
      <c r="B390" t="s">
        <v>917</v>
      </c>
      <c r="C390" s="16" t="s">
        <v>897</v>
      </c>
      <c r="D390" s="9" t="s">
        <v>23</v>
      </c>
      <c r="E390" s="9" t="s">
        <v>51</v>
      </c>
      <c r="F390">
        <v>448120</v>
      </c>
      <c r="G390" s="9" t="s">
        <v>358</v>
      </c>
      <c r="H390" s="9" t="s">
        <v>86</v>
      </c>
      <c r="I390" s="9">
        <v>9</v>
      </c>
      <c r="J390" s="9" t="s">
        <v>658</v>
      </c>
      <c r="K390" s="9">
        <v>2025</v>
      </c>
      <c r="L390" s="9" t="s">
        <v>23</v>
      </c>
      <c r="M390" s="9">
        <v>448120</v>
      </c>
      <c r="N390" s="9" t="s">
        <v>659</v>
      </c>
      <c r="O390" s="9" t="s">
        <v>660</v>
      </c>
      <c r="P390" s="10">
        <v>46178</v>
      </c>
    </row>
    <row r="391" spans="1:16">
      <c r="A391">
        <v>23</v>
      </c>
      <c r="B391" t="s">
        <v>917</v>
      </c>
      <c r="C391" s="9" t="s">
        <v>898</v>
      </c>
      <c r="D391" s="9" t="s">
        <v>23</v>
      </c>
      <c r="E391" s="9" t="s">
        <v>57</v>
      </c>
      <c r="F391">
        <v>1304208</v>
      </c>
      <c r="G391" s="9" t="s">
        <v>358</v>
      </c>
      <c r="H391" s="9" t="s">
        <v>661</v>
      </c>
      <c r="I391" s="9">
        <v>4</v>
      </c>
      <c r="J391" s="9" t="s">
        <v>662</v>
      </c>
      <c r="K391" s="9">
        <v>2024</v>
      </c>
      <c r="L391" s="9" t="s">
        <v>23</v>
      </c>
      <c r="M391" s="9">
        <v>1304208</v>
      </c>
      <c r="N391" s="9" t="s">
        <v>644</v>
      </c>
      <c r="O391" s="9" t="s">
        <v>25</v>
      </c>
      <c r="P391" s="10">
        <v>46178</v>
      </c>
    </row>
    <row r="392" spans="1:16">
      <c r="A392">
        <v>23</v>
      </c>
      <c r="B392" t="s">
        <v>917</v>
      </c>
      <c r="C392" s="9" t="s">
        <v>898</v>
      </c>
      <c r="D392" s="9" t="s">
        <v>27</v>
      </c>
      <c r="E392" s="9" t="s">
        <v>57</v>
      </c>
      <c r="F392">
        <v>371382</v>
      </c>
      <c r="G392" s="9" t="s">
        <v>358</v>
      </c>
      <c r="H392" s="9" t="s">
        <v>661</v>
      </c>
      <c r="I392" s="9">
        <v>8</v>
      </c>
      <c r="J392" s="9" t="s">
        <v>663</v>
      </c>
      <c r="K392" s="9">
        <v>2024</v>
      </c>
      <c r="L392" t="s">
        <v>27</v>
      </c>
      <c r="M392" s="9">
        <v>371382</v>
      </c>
      <c r="N392" s="9" t="s">
        <v>646</v>
      </c>
      <c r="O392" s="9" t="s">
        <v>25</v>
      </c>
      <c r="P392" s="10">
        <v>46178</v>
      </c>
    </row>
    <row r="393" spans="1:16">
      <c r="A393">
        <v>23</v>
      </c>
      <c r="B393" t="s">
        <v>917</v>
      </c>
      <c r="C393" s="9" t="s">
        <v>898</v>
      </c>
      <c r="D393" s="9" t="s">
        <v>29</v>
      </c>
      <c r="E393" s="9" t="s">
        <v>57</v>
      </c>
      <c r="F393">
        <v>28.48</v>
      </c>
      <c r="G393" s="9" t="s">
        <v>30</v>
      </c>
      <c r="H393" s="9" t="s">
        <v>661</v>
      </c>
      <c r="I393" s="9">
        <v>8</v>
      </c>
      <c r="J393" s="9" t="s">
        <v>664</v>
      </c>
      <c r="K393" s="9">
        <v>2024</v>
      </c>
      <c r="L393" s="9" t="s">
        <v>29</v>
      </c>
      <c r="M393" s="9">
        <v>28.48</v>
      </c>
      <c r="N393" s="9" t="s">
        <v>648</v>
      </c>
      <c r="O393" s="9" t="s">
        <v>25</v>
      </c>
      <c r="P393" s="10">
        <v>46178</v>
      </c>
    </row>
    <row r="394" spans="1:16">
      <c r="A394">
        <v>23</v>
      </c>
      <c r="B394" t="s">
        <v>917</v>
      </c>
      <c r="C394" s="9" t="s">
        <v>898</v>
      </c>
      <c r="D394" s="9" t="s">
        <v>36</v>
      </c>
      <c r="E394" s="9" t="s">
        <v>57</v>
      </c>
      <c r="F394">
        <v>6.42</v>
      </c>
      <c r="G394" s="9" t="s">
        <v>30</v>
      </c>
      <c r="H394" s="9" t="s">
        <v>661</v>
      </c>
      <c r="I394" s="9">
        <v>4</v>
      </c>
      <c r="J394" s="9" t="s">
        <v>665</v>
      </c>
      <c r="K394" s="9">
        <v>2024</v>
      </c>
      <c r="L394" s="9" t="s">
        <v>36</v>
      </c>
      <c r="M394" s="9">
        <v>6.42</v>
      </c>
      <c r="N394" s="9" t="s">
        <v>650</v>
      </c>
      <c r="O394" s="9" t="s">
        <v>25</v>
      </c>
      <c r="P394" s="10">
        <v>46178</v>
      </c>
    </row>
    <row r="395" spans="1:16" ht="15">
      <c r="A395">
        <v>23</v>
      </c>
      <c r="B395" t="s">
        <v>917</v>
      </c>
      <c r="C395" s="9" t="s">
        <v>898</v>
      </c>
      <c r="D395" s="9" t="s">
        <v>203</v>
      </c>
      <c r="E395" s="9" t="s">
        <v>57</v>
      </c>
      <c r="F395">
        <v>20.329999999999998</v>
      </c>
      <c r="G395" s="9" t="s">
        <v>30</v>
      </c>
      <c r="H395" s="9" t="s">
        <v>661</v>
      </c>
      <c r="I395" s="9">
        <v>8</v>
      </c>
      <c r="J395" s="9" t="s">
        <v>666</v>
      </c>
      <c r="K395" s="9">
        <v>2024</v>
      </c>
      <c r="L395" s="13" t="s">
        <v>822</v>
      </c>
      <c r="M395" s="9">
        <v>20.329999999999998</v>
      </c>
      <c r="N395" s="9" t="s">
        <v>667</v>
      </c>
      <c r="O395" s="9" t="s">
        <v>25</v>
      </c>
      <c r="P395" s="10">
        <v>46178</v>
      </c>
    </row>
    <row r="396" spans="1:16" ht="15">
      <c r="A396">
        <v>23</v>
      </c>
      <c r="B396" t="s">
        <v>917</v>
      </c>
      <c r="C396" s="13" t="s">
        <v>896</v>
      </c>
      <c r="D396" s="9" t="s">
        <v>23</v>
      </c>
      <c r="E396" s="9" t="s">
        <v>57</v>
      </c>
      <c r="F396">
        <v>760522</v>
      </c>
      <c r="G396" s="9" t="s">
        <v>358</v>
      </c>
      <c r="H396" s="9" t="s">
        <v>661</v>
      </c>
      <c r="I396" s="9">
        <v>8</v>
      </c>
      <c r="J396" s="9" t="s">
        <v>668</v>
      </c>
      <c r="K396" s="9">
        <v>2024</v>
      </c>
      <c r="L396" s="9" t="s">
        <v>23</v>
      </c>
      <c r="M396" s="9">
        <v>760522</v>
      </c>
      <c r="N396" s="9" t="s">
        <v>654</v>
      </c>
      <c r="O396" s="9" t="s">
        <v>655</v>
      </c>
      <c r="P396" s="10">
        <v>46178</v>
      </c>
    </row>
    <row r="397" spans="1:16" ht="15">
      <c r="A397">
        <v>23</v>
      </c>
      <c r="B397" t="s">
        <v>917</v>
      </c>
      <c r="C397" s="13" t="s">
        <v>896</v>
      </c>
      <c r="D397" s="9" t="s">
        <v>29</v>
      </c>
      <c r="E397" s="9" t="s">
        <v>57</v>
      </c>
      <c r="F397">
        <v>28.57</v>
      </c>
      <c r="G397" s="9" t="s">
        <v>30</v>
      </c>
      <c r="H397" s="9" t="s">
        <v>661</v>
      </c>
      <c r="I397" s="9">
        <v>8</v>
      </c>
      <c r="J397" s="9" t="s">
        <v>669</v>
      </c>
      <c r="K397" s="9">
        <v>2024</v>
      </c>
      <c r="L397" s="9" t="s">
        <v>29</v>
      </c>
      <c r="M397" s="9">
        <v>28.57</v>
      </c>
      <c r="N397" s="9" t="s">
        <v>657</v>
      </c>
      <c r="O397" s="9" t="s">
        <v>655</v>
      </c>
      <c r="P397" s="10">
        <v>46178</v>
      </c>
    </row>
    <row r="398" spans="1:16" ht="16.5">
      <c r="A398">
        <v>23</v>
      </c>
      <c r="B398" t="s">
        <v>917</v>
      </c>
      <c r="C398" s="16" t="s">
        <v>897</v>
      </c>
      <c r="D398" s="9" t="s">
        <v>23</v>
      </c>
      <c r="E398" s="9" t="s">
        <v>57</v>
      </c>
      <c r="F398">
        <v>542269</v>
      </c>
      <c r="G398" s="9" t="s">
        <v>358</v>
      </c>
      <c r="H398" s="9" t="s">
        <v>661</v>
      </c>
      <c r="I398" s="9">
        <v>8</v>
      </c>
      <c r="J398" s="9" t="s">
        <v>670</v>
      </c>
      <c r="K398" s="9">
        <v>2024</v>
      </c>
      <c r="L398" s="9" t="s">
        <v>23</v>
      </c>
      <c r="M398" s="9">
        <v>542269</v>
      </c>
      <c r="N398" s="9" t="s">
        <v>659</v>
      </c>
      <c r="O398" s="9" t="s">
        <v>660</v>
      </c>
      <c r="P398" s="10">
        <v>46178</v>
      </c>
    </row>
    <row r="399" spans="1:16">
      <c r="A399">
        <v>23</v>
      </c>
      <c r="B399" t="s">
        <v>917</v>
      </c>
      <c r="C399" s="9" t="s">
        <v>898</v>
      </c>
      <c r="D399" s="9" t="s">
        <v>23</v>
      </c>
      <c r="E399" s="9" t="s">
        <v>62</v>
      </c>
      <c r="F399">
        <v>1455870</v>
      </c>
      <c r="G399" s="9" t="s">
        <v>358</v>
      </c>
      <c r="H399" s="9" t="s">
        <v>86</v>
      </c>
      <c r="I399" s="9">
        <v>4</v>
      </c>
      <c r="J399" s="9" t="s">
        <v>671</v>
      </c>
      <c r="K399" s="9">
        <v>2023</v>
      </c>
      <c r="L399" s="9" t="s">
        <v>23</v>
      </c>
      <c r="M399" s="9">
        <v>1455870</v>
      </c>
      <c r="N399" s="9" t="s">
        <v>672</v>
      </c>
      <c r="O399" s="9" t="s">
        <v>25</v>
      </c>
      <c r="P399" s="10">
        <v>46178</v>
      </c>
    </row>
    <row r="400" spans="1:16">
      <c r="A400">
        <v>23</v>
      </c>
      <c r="B400" t="s">
        <v>917</v>
      </c>
      <c r="C400" s="9" t="s">
        <v>898</v>
      </c>
      <c r="D400" s="9" t="s">
        <v>36</v>
      </c>
      <c r="E400" s="9" t="s">
        <v>62</v>
      </c>
      <c r="F400">
        <v>7.33</v>
      </c>
      <c r="G400" s="9" t="s">
        <v>30</v>
      </c>
      <c r="H400" s="9" t="s">
        <v>86</v>
      </c>
      <c r="I400" s="9">
        <v>4</v>
      </c>
      <c r="J400" s="9" t="s">
        <v>673</v>
      </c>
      <c r="K400" s="9">
        <v>2023</v>
      </c>
      <c r="L400" s="9" t="s">
        <v>36</v>
      </c>
      <c r="M400" s="9">
        <v>7.33</v>
      </c>
      <c r="N400" s="9" t="s">
        <v>650</v>
      </c>
      <c r="O400" s="9" t="s">
        <v>25</v>
      </c>
      <c r="P400" s="10">
        <v>46178</v>
      </c>
    </row>
    <row r="401" spans="1:17">
      <c r="A401">
        <v>23</v>
      </c>
      <c r="B401" t="s">
        <v>917</v>
      </c>
      <c r="C401" s="9" t="s">
        <v>898</v>
      </c>
      <c r="D401" s="9" t="s">
        <v>29</v>
      </c>
      <c r="E401" s="9" t="s">
        <v>62</v>
      </c>
      <c r="F401">
        <v>28.3</v>
      </c>
      <c r="G401" s="9" t="s">
        <v>30</v>
      </c>
      <c r="H401" s="9" t="s">
        <v>661</v>
      </c>
      <c r="I401" s="9">
        <v>8</v>
      </c>
      <c r="J401" s="9" t="s">
        <v>674</v>
      </c>
      <c r="K401" s="9">
        <v>2023</v>
      </c>
      <c r="L401" s="9" t="s">
        <v>29</v>
      </c>
      <c r="M401" s="9">
        <v>28.3</v>
      </c>
      <c r="N401" s="9" t="s">
        <v>675</v>
      </c>
      <c r="O401" s="9" t="s">
        <v>676</v>
      </c>
      <c r="P401" s="10">
        <v>46178</v>
      </c>
    </row>
    <row r="402" spans="1:17" ht="15">
      <c r="A402">
        <v>23</v>
      </c>
      <c r="B402" t="s">
        <v>917</v>
      </c>
      <c r="C402" s="13" t="s">
        <v>896</v>
      </c>
      <c r="D402" s="9" t="s">
        <v>23</v>
      </c>
      <c r="E402" s="9" t="s">
        <v>62</v>
      </c>
      <c r="F402"/>
      <c r="G402" s="9" t="s">
        <v>358</v>
      </c>
      <c r="H402" s="9" t="s">
        <v>86</v>
      </c>
      <c r="I402" s="9" t="s">
        <v>677</v>
      </c>
      <c r="J402" s="9" t="s">
        <v>678</v>
      </c>
      <c r="K402" s="9">
        <v>2023</v>
      </c>
      <c r="L402" s="9" t="s">
        <v>23</v>
      </c>
      <c r="M402" s="9"/>
      <c r="N402" s="9" t="s">
        <v>679</v>
      </c>
      <c r="O402" s="9" t="s">
        <v>680</v>
      </c>
      <c r="P402" s="10">
        <v>46178</v>
      </c>
    </row>
    <row r="403" spans="1:17">
      <c r="A403">
        <v>11</v>
      </c>
      <c r="B403" t="s">
        <v>147</v>
      </c>
      <c r="C403" s="9" t="s">
        <v>17</v>
      </c>
      <c r="D403" s="9" t="s">
        <v>23</v>
      </c>
      <c r="E403" s="9" t="s">
        <v>51</v>
      </c>
      <c r="F403">
        <v>60253963</v>
      </c>
      <c r="G403" s="9" t="s">
        <v>686</v>
      </c>
      <c r="H403" s="9" t="s">
        <v>593</v>
      </c>
      <c r="I403" s="9" t="s">
        <v>687</v>
      </c>
      <c r="J403" s="9" t="s">
        <v>688</v>
      </c>
      <c r="K403" s="9">
        <v>2025</v>
      </c>
      <c r="L403" s="9" t="s">
        <v>23</v>
      </c>
      <c r="M403" s="11">
        <v>14460951.119999999</v>
      </c>
      <c r="N403" s="9" t="s">
        <v>719</v>
      </c>
      <c r="O403" s="9" t="s">
        <v>134</v>
      </c>
      <c r="P403" s="10">
        <v>46178</v>
      </c>
      <c r="Q403" t="s">
        <v>624</v>
      </c>
    </row>
    <row r="404" spans="1:17">
      <c r="A404">
        <v>11</v>
      </c>
      <c r="B404" t="s">
        <v>147</v>
      </c>
      <c r="C404" s="9" t="s">
        <v>17</v>
      </c>
      <c r="D404" s="9" t="s">
        <v>689</v>
      </c>
      <c r="E404" s="9" t="s">
        <v>51</v>
      </c>
      <c r="F404">
        <v>11937250</v>
      </c>
      <c r="G404" s="9" t="s">
        <v>686</v>
      </c>
      <c r="H404" s="9" t="s">
        <v>593</v>
      </c>
      <c r="I404" s="9" t="s">
        <v>687</v>
      </c>
      <c r="J404" s="9" t="s">
        <v>690</v>
      </c>
      <c r="K404" s="9">
        <v>2025</v>
      </c>
      <c r="L404" t="s">
        <v>27</v>
      </c>
      <c r="M404" s="11">
        <v>2864940</v>
      </c>
      <c r="N404" s="9" t="s">
        <v>720</v>
      </c>
      <c r="O404" s="9" t="s">
        <v>134</v>
      </c>
      <c r="P404" s="10">
        <v>46178</v>
      </c>
      <c r="Q404" t="s">
        <v>624</v>
      </c>
    </row>
    <row r="405" spans="1:17">
      <c r="A405">
        <v>11</v>
      </c>
      <c r="B405" t="s">
        <v>147</v>
      </c>
      <c r="C405" s="9" t="s">
        <v>17</v>
      </c>
      <c r="D405" s="9" t="s">
        <v>29</v>
      </c>
      <c r="E405" s="9" t="s">
        <v>51</v>
      </c>
      <c r="F405">
        <v>19.809999999999999</v>
      </c>
      <c r="G405" s="9" t="s">
        <v>30</v>
      </c>
      <c r="H405" s="9" t="s">
        <v>593</v>
      </c>
      <c r="I405" s="9" t="s">
        <v>687</v>
      </c>
      <c r="J405" s="9" t="s">
        <v>691</v>
      </c>
      <c r="K405" s="9">
        <v>2025</v>
      </c>
      <c r="L405" s="9" t="s">
        <v>29</v>
      </c>
      <c r="M405" s="11">
        <v>19.809999999999999</v>
      </c>
      <c r="N405" s="9" t="s">
        <v>692</v>
      </c>
      <c r="O405" s="9" t="s">
        <v>134</v>
      </c>
      <c r="P405" s="10">
        <v>46178</v>
      </c>
      <c r="Q405" t="s">
        <v>624</v>
      </c>
    </row>
    <row r="406" spans="1:17" ht="15">
      <c r="A406">
        <v>11</v>
      </c>
      <c r="B406" t="s">
        <v>147</v>
      </c>
      <c r="C406" s="9" t="s">
        <v>17</v>
      </c>
      <c r="D406" s="9" t="s">
        <v>693</v>
      </c>
      <c r="E406" s="9" t="s">
        <v>51</v>
      </c>
      <c r="F406">
        <v>10856096</v>
      </c>
      <c r="G406" s="9" t="s">
        <v>686</v>
      </c>
      <c r="H406" s="9" t="s">
        <v>593</v>
      </c>
      <c r="I406" s="9" t="s">
        <v>687</v>
      </c>
      <c r="J406" s="9" t="s">
        <v>694</v>
      </c>
      <c r="K406" s="9">
        <v>2025</v>
      </c>
      <c r="L406" s="13" t="s">
        <v>821</v>
      </c>
      <c r="M406" s="11">
        <v>2605463.04</v>
      </c>
      <c r="N406" s="9" t="s">
        <v>721</v>
      </c>
      <c r="O406" s="9" t="s">
        <v>134</v>
      </c>
      <c r="P406" s="10">
        <v>46178</v>
      </c>
      <c r="Q406" t="s">
        <v>624</v>
      </c>
    </row>
    <row r="407" spans="1:17">
      <c r="A407">
        <v>11</v>
      </c>
      <c r="B407" t="s">
        <v>147</v>
      </c>
      <c r="C407" s="9" t="s">
        <v>17</v>
      </c>
      <c r="D407" s="9" t="s">
        <v>695</v>
      </c>
      <c r="E407" s="9" t="s">
        <v>51</v>
      </c>
      <c r="F407">
        <v>1081154</v>
      </c>
      <c r="G407" s="9" t="s">
        <v>686</v>
      </c>
      <c r="H407" s="9" t="s">
        <v>593</v>
      </c>
      <c r="I407" s="9" t="s">
        <v>687</v>
      </c>
      <c r="J407" s="9" t="s">
        <v>696</v>
      </c>
      <c r="K407" s="9">
        <v>2025</v>
      </c>
      <c r="L407" t="s">
        <v>35</v>
      </c>
      <c r="M407" s="11">
        <v>259476.96</v>
      </c>
      <c r="N407" s="9" t="s">
        <v>722</v>
      </c>
      <c r="O407" s="9" t="s">
        <v>134</v>
      </c>
      <c r="P407" s="10">
        <v>46178</v>
      </c>
      <c r="Q407" t="s">
        <v>624</v>
      </c>
    </row>
    <row r="408" spans="1:17">
      <c r="A408">
        <v>11</v>
      </c>
      <c r="B408" t="s">
        <v>147</v>
      </c>
      <c r="C408" s="9" t="s">
        <v>17</v>
      </c>
      <c r="D408" s="9" t="s">
        <v>150</v>
      </c>
      <c r="E408" s="9" t="s">
        <v>51</v>
      </c>
      <c r="F408">
        <v>866402</v>
      </c>
      <c r="G408" s="9" t="s">
        <v>686</v>
      </c>
      <c r="H408" s="9" t="s">
        <v>593</v>
      </c>
      <c r="I408" s="9" t="s">
        <v>687</v>
      </c>
      <c r="J408" s="9" t="s">
        <v>697</v>
      </c>
      <c r="K408" s="9">
        <v>2025</v>
      </c>
      <c r="L408" s="9" t="s">
        <v>150</v>
      </c>
      <c r="M408" s="11">
        <v>207936.48</v>
      </c>
      <c r="N408" s="9" t="s">
        <v>723</v>
      </c>
      <c r="O408" s="9" t="s">
        <v>134</v>
      </c>
      <c r="P408" s="10">
        <v>46178</v>
      </c>
      <c r="Q408" t="s">
        <v>624</v>
      </c>
    </row>
    <row r="409" spans="1:17">
      <c r="A409">
        <v>11</v>
      </c>
      <c r="B409" t="s">
        <v>147</v>
      </c>
      <c r="C409" s="9" t="s">
        <v>17</v>
      </c>
      <c r="D409" s="9" t="s">
        <v>36</v>
      </c>
      <c r="E409" s="9" t="s">
        <v>51</v>
      </c>
      <c r="F409">
        <v>1.44</v>
      </c>
      <c r="G409" s="9" t="s">
        <v>30</v>
      </c>
      <c r="H409" s="9" t="s">
        <v>593</v>
      </c>
      <c r="I409" s="9" t="s">
        <v>687</v>
      </c>
      <c r="J409" s="9" t="s">
        <v>698</v>
      </c>
      <c r="K409" s="9">
        <v>2025</v>
      </c>
      <c r="L409" s="9" t="s">
        <v>36</v>
      </c>
      <c r="M409" s="11">
        <v>1.44</v>
      </c>
      <c r="N409" s="9" t="s">
        <v>699</v>
      </c>
      <c r="O409" s="9" t="s">
        <v>134</v>
      </c>
      <c r="P409" s="10">
        <v>46178</v>
      </c>
      <c r="Q409" t="s">
        <v>624</v>
      </c>
    </row>
    <row r="410" spans="1:17">
      <c r="A410">
        <v>11</v>
      </c>
      <c r="B410" t="s">
        <v>147</v>
      </c>
      <c r="C410" s="9" t="s">
        <v>17</v>
      </c>
      <c r="D410" s="9" t="s">
        <v>23</v>
      </c>
      <c r="E410" s="9" t="s">
        <v>57</v>
      </c>
      <c r="F410">
        <v>71278772</v>
      </c>
      <c r="G410" s="9" t="s">
        <v>686</v>
      </c>
      <c r="H410" s="9" t="s">
        <v>596</v>
      </c>
      <c r="I410" s="9" t="s">
        <v>700</v>
      </c>
      <c r="J410" s="9" t="s">
        <v>701</v>
      </c>
      <c r="K410" s="9">
        <v>2024</v>
      </c>
      <c r="L410" s="9" t="s">
        <v>23</v>
      </c>
      <c r="M410" s="11">
        <v>16394117.560000001</v>
      </c>
      <c r="N410" s="9" t="s">
        <v>724</v>
      </c>
      <c r="O410" s="9" t="s">
        <v>134</v>
      </c>
      <c r="P410" s="10">
        <v>46178</v>
      </c>
      <c r="Q410" t="s">
        <v>624</v>
      </c>
    </row>
    <row r="411" spans="1:17">
      <c r="A411">
        <v>11</v>
      </c>
      <c r="B411" t="s">
        <v>147</v>
      </c>
      <c r="C411" s="9" t="s">
        <v>17</v>
      </c>
      <c r="D411" s="9" t="s">
        <v>689</v>
      </c>
      <c r="E411" s="9" t="s">
        <v>57</v>
      </c>
      <c r="F411">
        <v>13534038</v>
      </c>
      <c r="G411" s="9" t="s">
        <v>686</v>
      </c>
      <c r="H411" s="9" t="s">
        <v>596</v>
      </c>
      <c r="I411" s="9" t="s">
        <v>700</v>
      </c>
      <c r="J411" s="9" t="s">
        <v>702</v>
      </c>
      <c r="K411" s="9">
        <v>2024</v>
      </c>
      <c r="L411" t="s">
        <v>27</v>
      </c>
      <c r="M411" s="11">
        <v>3112828.74</v>
      </c>
      <c r="N411" s="9" t="s">
        <v>725</v>
      </c>
      <c r="O411" s="9" t="s">
        <v>134</v>
      </c>
      <c r="P411" s="10">
        <v>46178</v>
      </c>
      <c r="Q411" t="s">
        <v>624</v>
      </c>
    </row>
    <row r="412" spans="1:17">
      <c r="A412">
        <v>11</v>
      </c>
      <c r="B412" t="s">
        <v>147</v>
      </c>
      <c r="C412" s="9" t="s">
        <v>17</v>
      </c>
      <c r="D412" s="9" t="s">
        <v>29</v>
      </c>
      <c r="E412" s="9" t="s">
        <v>57</v>
      </c>
      <c r="F412">
        <v>18.989999999999998</v>
      </c>
      <c r="G412" s="9" t="s">
        <v>30</v>
      </c>
      <c r="H412" s="9" t="s">
        <v>596</v>
      </c>
      <c r="I412" s="9" t="s">
        <v>700</v>
      </c>
      <c r="J412" s="9" t="s">
        <v>703</v>
      </c>
      <c r="K412" s="9">
        <v>2024</v>
      </c>
      <c r="L412" s="9" t="s">
        <v>29</v>
      </c>
      <c r="M412" s="11">
        <v>18.989999999999998</v>
      </c>
      <c r="N412" s="9" t="s">
        <v>704</v>
      </c>
      <c r="O412" s="9" t="s">
        <v>134</v>
      </c>
      <c r="P412" s="10">
        <v>46178</v>
      </c>
      <c r="Q412" t="s">
        <v>624</v>
      </c>
    </row>
    <row r="413" spans="1:17" ht="15">
      <c r="A413">
        <v>11</v>
      </c>
      <c r="B413" t="s">
        <v>147</v>
      </c>
      <c r="C413" s="9" t="s">
        <v>17</v>
      </c>
      <c r="D413" s="9" t="s">
        <v>693</v>
      </c>
      <c r="E413" s="9" t="s">
        <v>57</v>
      </c>
      <c r="F413">
        <v>11675553</v>
      </c>
      <c r="G413" s="9" t="s">
        <v>686</v>
      </c>
      <c r="H413" s="9" t="s">
        <v>596</v>
      </c>
      <c r="I413" s="9" t="s">
        <v>700</v>
      </c>
      <c r="J413" s="9" t="s">
        <v>705</v>
      </c>
      <c r="K413" s="9">
        <v>2024</v>
      </c>
      <c r="L413" s="13" t="s">
        <v>821</v>
      </c>
      <c r="M413" s="11">
        <v>2685377.19</v>
      </c>
      <c r="N413" s="9" t="s">
        <v>726</v>
      </c>
      <c r="O413" s="9" t="s">
        <v>134</v>
      </c>
      <c r="P413" s="10">
        <v>46178</v>
      </c>
      <c r="Q413" t="s">
        <v>624</v>
      </c>
    </row>
    <row r="414" spans="1:17">
      <c r="A414">
        <v>11</v>
      </c>
      <c r="B414" t="s">
        <v>147</v>
      </c>
      <c r="C414" s="9" t="s">
        <v>17</v>
      </c>
      <c r="D414" s="9" t="s">
        <v>695</v>
      </c>
      <c r="E414" s="9" t="s">
        <v>57</v>
      </c>
      <c r="F414">
        <v>1858485</v>
      </c>
      <c r="G414" s="9" t="s">
        <v>686</v>
      </c>
      <c r="H414" s="9" t="s">
        <v>596</v>
      </c>
      <c r="I414" s="9" t="s">
        <v>700</v>
      </c>
      <c r="J414" s="9" t="s">
        <v>706</v>
      </c>
      <c r="K414" s="9">
        <v>2024</v>
      </c>
      <c r="L414" t="s">
        <v>35</v>
      </c>
      <c r="M414" s="11">
        <v>427451.55</v>
      </c>
      <c r="N414" s="9" t="s">
        <v>727</v>
      </c>
      <c r="O414" s="9" t="s">
        <v>134</v>
      </c>
      <c r="P414" s="10">
        <v>46178</v>
      </c>
      <c r="Q414" t="s">
        <v>624</v>
      </c>
    </row>
    <row r="415" spans="1:17">
      <c r="A415">
        <v>11</v>
      </c>
      <c r="B415" t="s">
        <v>147</v>
      </c>
      <c r="C415" s="9" t="s">
        <v>17</v>
      </c>
      <c r="D415" s="9" t="s">
        <v>150</v>
      </c>
      <c r="E415" s="9" t="s">
        <v>57</v>
      </c>
      <c r="F415">
        <v>1480104</v>
      </c>
      <c r="G415" s="9" t="s">
        <v>686</v>
      </c>
      <c r="H415" s="9" t="s">
        <v>596</v>
      </c>
      <c r="I415" s="9" t="s">
        <v>700</v>
      </c>
      <c r="J415" s="9" t="s">
        <v>707</v>
      </c>
      <c r="K415" s="9">
        <v>2024</v>
      </c>
      <c r="L415" s="9" t="s">
        <v>150</v>
      </c>
      <c r="M415" s="11">
        <v>340423.92</v>
      </c>
      <c r="N415" s="9" t="s">
        <v>728</v>
      </c>
      <c r="O415" s="9" t="s">
        <v>134</v>
      </c>
      <c r="P415" s="10">
        <v>46178</v>
      </c>
      <c r="Q415" t="s">
        <v>624</v>
      </c>
    </row>
    <row r="416" spans="1:17">
      <c r="A416">
        <v>11</v>
      </c>
      <c r="B416" t="s">
        <v>147</v>
      </c>
      <c r="C416" s="9" t="s">
        <v>17</v>
      </c>
      <c r="D416" s="9" t="s">
        <v>36</v>
      </c>
      <c r="E416" s="9" t="s">
        <v>57</v>
      </c>
      <c r="F416">
        <v>2.08</v>
      </c>
      <c r="G416" s="9" t="s">
        <v>30</v>
      </c>
      <c r="H416" s="9" t="s">
        <v>596</v>
      </c>
      <c r="I416" s="9" t="s">
        <v>700</v>
      </c>
      <c r="J416" s="9" t="s">
        <v>708</v>
      </c>
      <c r="K416" s="9">
        <v>2024</v>
      </c>
      <c r="L416" s="9" t="s">
        <v>36</v>
      </c>
      <c r="M416" s="11">
        <v>2.08</v>
      </c>
      <c r="N416" s="9" t="s">
        <v>709</v>
      </c>
      <c r="O416" s="9" t="s">
        <v>134</v>
      </c>
      <c r="P416" s="10">
        <v>46178</v>
      </c>
      <c r="Q416" t="s">
        <v>624</v>
      </c>
    </row>
    <row r="417" spans="1:20">
      <c r="A417">
        <v>11</v>
      </c>
      <c r="B417" t="s">
        <v>147</v>
      </c>
      <c r="C417" s="9" t="s">
        <v>17</v>
      </c>
      <c r="D417" s="9" t="s">
        <v>23</v>
      </c>
      <c r="E417" s="9" t="s">
        <v>62</v>
      </c>
      <c r="F417">
        <v>76953546</v>
      </c>
      <c r="G417" s="9" t="s">
        <v>686</v>
      </c>
      <c r="H417" s="9" t="s">
        <v>596</v>
      </c>
      <c r="I417" s="9" t="s">
        <v>700</v>
      </c>
      <c r="J417" s="9" t="s">
        <v>710</v>
      </c>
      <c r="K417" s="9">
        <v>2023</v>
      </c>
      <c r="L417" s="9" t="s">
        <v>23</v>
      </c>
      <c r="M417" s="11">
        <v>16929780.120000001</v>
      </c>
      <c r="N417" s="9" t="s">
        <v>729</v>
      </c>
      <c r="O417" s="9" t="s">
        <v>134</v>
      </c>
      <c r="P417" s="10">
        <v>46178</v>
      </c>
      <c r="Q417" t="s">
        <v>624</v>
      </c>
    </row>
    <row r="418" spans="1:20">
      <c r="A418">
        <v>11</v>
      </c>
      <c r="B418" t="s">
        <v>147</v>
      </c>
      <c r="C418" s="9" t="s">
        <v>17</v>
      </c>
      <c r="D418" s="9" t="s">
        <v>689</v>
      </c>
      <c r="E418" s="9" t="s">
        <v>62</v>
      </c>
      <c r="F418">
        <v>16973293</v>
      </c>
      <c r="G418" s="9" t="s">
        <v>686</v>
      </c>
      <c r="H418" s="9" t="s">
        <v>596</v>
      </c>
      <c r="I418" s="9" t="s">
        <v>700</v>
      </c>
      <c r="J418" s="9" t="s">
        <v>711</v>
      </c>
      <c r="K418" s="9">
        <v>2023</v>
      </c>
      <c r="L418" t="s">
        <v>27</v>
      </c>
      <c r="M418" s="11">
        <v>3734124.46</v>
      </c>
      <c r="N418" s="9" t="s">
        <v>730</v>
      </c>
      <c r="O418" s="9" t="s">
        <v>134</v>
      </c>
      <c r="P418" s="10">
        <v>46178</v>
      </c>
      <c r="Q418" t="s">
        <v>624</v>
      </c>
    </row>
    <row r="419" spans="1:20">
      <c r="A419">
        <v>11</v>
      </c>
      <c r="B419" t="s">
        <v>147</v>
      </c>
      <c r="C419" s="9" t="s">
        <v>17</v>
      </c>
      <c r="D419" s="9" t="s">
        <v>29</v>
      </c>
      <c r="E419" s="9" t="s">
        <v>62</v>
      </c>
      <c r="F419">
        <v>22.06</v>
      </c>
      <c r="G419" s="9" t="s">
        <v>30</v>
      </c>
      <c r="H419" s="9" t="s">
        <v>596</v>
      </c>
      <c r="I419" s="9" t="s">
        <v>700</v>
      </c>
      <c r="J419" s="9" t="s">
        <v>712</v>
      </c>
      <c r="K419" s="9">
        <v>2023</v>
      </c>
      <c r="L419" s="9" t="s">
        <v>29</v>
      </c>
      <c r="M419" s="11">
        <v>22.06</v>
      </c>
      <c r="N419" s="9" t="s">
        <v>713</v>
      </c>
      <c r="O419" s="9" t="s">
        <v>134</v>
      </c>
      <c r="P419" s="10">
        <v>46178</v>
      </c>
      <c r="Q419" t="s">
        <v>624</v>
      </c>
    </row>
    <row r="420" spans="1:20" ht="15">
      <c r="A420">
        <v>11</v>
      </c>
      <c r="B420" t="s">
        <v>147</v>
      </c>
      <c r="C420" s="9" t="s">
        <v>17</v>
      </c>
      <c r="D420" s="9" t="s">
        <v>693</v>
      </c>
      <c r="E420" s="9" t="s">
        <v>62</v>
      </c>
      <c r="F420">
        <v>12263973</v>
      </c>
      <c r="G420" s="9" t="s">
        <v>686</v>
      </c>
      <c r="H420" s="9" t="s">
        <v>596</v>
      </c>
      <c r="I420" s="9" t="s">
        <v>700</v>
      </c>
      <c r="J420" s="9" t="s">
        <v>714</v>
      </c>
      <c r="K420" s="9">
        <v>2023</v>
      </c>
      <c r="L420" s="13" t="s">
        <v>821</v>
      </c>
      <c r="M420" s="11">
        <v>2698074.06</v>
      </c>
      <c r="N420" s="9" t="s">
        <v>731</v>
      </c>
      <c r="O420" s="9" t="s">
        <v>134</v>
      </c>
      <c r="P420" s="10">
        <v>46178</v>
      </c>
      <c r="Q420" t="s">
        <v>624</v>
      </c>
    </row>
    <row r="421" spans="1:20">
      <c r="A421">
        <v>11</v>
      </c>
      <c r="B421" t="s">
        <v>147</v>
      </c>
      <c r="C421" s="9" t="s">
        <v>17</v>
      </c>
      <c r="D421" s="9" t="s">
        <v>695</v>
      </c>
      <c r="E421" s="9" t="s">
        <v>62</v>
      </c>
      <c r="F421">
        <v>4709320</v>
      </c>
      <c r="G421" s="9" t="s">
        <v>686</v>
      </c>
      <c r="H421" s="9" t="s">
        <v>596</v>
      </c>
      <c r="I421" s="9" t="s">
        <v>700</v>
      </c>
      <c r="J421" s="9" t="s">
        <v>715</v>
      </c>
      <c r="K421" s="9">
        <v>2023</v>
      </c>
      <c r="L421" t="s">
        <v>35</v>
      </c>
      <c r="M421" s="11">
        <v>1036050.4</v>
      </c>
      <c r="N421" s="9" t="s">
        <v>732</v>
      </c>
      <c r="O421" s="9" t="s">
        <v>134</v>
      </c>
      <c r="P421" s="10">
        <v>46178</v>
      </c>
      <c r="Q421" t="s">
        <v>624</v>
      </c>
    </row>
    <row r="422" spans="1:20">
      <c r="A422">
        <v>11</v>
      </c>
      <c r="B422" t="s">
        <v>147</v>
      </c>
      <c r="C422" s="9" t="s">
        <v>17</v>
      </c>
      <c r="D422" s="9" t="s">
        <v>150</v>
      </c>
      <c r="E422" s="9" t="s">
        <v>62</v>
      </c>
      <c r="F422">
        <v>3566392</v>
      </c>
      <c r="G422" s="9" t="s">
        <v>686</v>
      </c>
      <c r="H422" s="9" t="s">
        <v>596</v>
      </c>
      <c r="I422" s="9" t="s">
        <v>700</v>
      </c>
      <c r="J422" s="9" t="s">
        <v>716</v>
      </c>
      <c r="K422" s="9">
        <v>2023</v>
      </c>
      <c r="L422" s="9" t="s">
        <v>150</v>
      </c>
      <c r="M422" s="11">
        <v>784606.24</v>
      </c>
      <c r="N422" s="9" t="s">
        <v>733</v>
      </c>
      <c r="O422" s="9" t="s">
        <v>134</v>
      </c>
      <c r="P422" s="10">
        <v>46178</v>
      </c>
      <c r="Q422" t="s">
        <v>624</v>
      </c>
    </row>
    <row r="423" spans="1:20">
      <c r="A423">
        <v>11</v>
      </c>
      <c r="B423" t="s">
        <v>147</v>
      </c>
      <c r="C423" s="9" t="s">
        <v>17</v>
      </c>
      <c r="D423" s="9" t="s">
        <v>36</v>
      </c>
      <c r="E423" s="9" t="s">
        <v>62</v>
      </c>
      <c r="F423">
        <v>4.63</v>
      </c>
      <c r="G423" s="9" t="s">
        <v>30</v>
      </c>
      <c r="H423" s="9" t="s">
        <v>596</v>
      </c>
      <c r="I423" s="9" t="s">
        <v>700</v>
      </c>
      <c r="J423" s="9" t="s">
        <v>717</v>
      </c>
      <c r="K423" s="9">
        <v>2023</v>
      </c>
      <c r="L423" s="9" t="s">
        <v>36</v>
      </c>
      <c r="M423" s="11">
        <v>4.63</v>
      </c>
      <c r="N423" s="9" t="s">
        <v>718</v>
      </c>
      <c r="O423" s="9" t="s">
        <v>134</v>
      </c>
      <c r="P423" s="10">
        <v>46178</v>
      </c>
      <c r="Q423" t="s">
        <v>624</v>
      </c>
    </row>
    <row r="424" spans="1:20">
      <c r="A424">
        <v>18</v>
      </c>
      <c r="B424" t="s">
        <v>930</v>
      </c>
      <c r="C424" s="9" t="s">
        <v>586</v>
      </c>
      <c r="D424" s="9" t="s">
        <v>115</v>
      </c>
      <c r="E424" s="9" t="s">
        <v>51</v>
      </c>
      <c r="F424">
        <v>23.79860133</v>
      </c>
      <c r="G424" s="9" t="s">
        <v>30</v>
      </c>
      <c r="H424" s="9" t="s">
        <v>734</v>
      </c>
      <c r="I424" s="9"/>
      <c r="J424" s="9"/>
      <c r="K424" s="9">
        <v>2025</v>
      </c>
      <c r="L424" s="9" t="s">
        <v>115</v>
      </c>
      <c r="M424" s="9">
        <v>23.79860133</v>
      </c>
      <c r="N424" s="9" t="s">
        <v>735</v>
      </c>
      <c r="O424" s="9"/>
      <c r="P424" s="1">
        <v>46178</v>
      </c>
      <c r="Q424" s="9"/>
      <c r="R424" s="9"/>
      <c r="S424" s="9"/>
    </row>
    <row r="425" spans="1:20">
      <c r="A425">
        <v>18</v>
      </c>
      <c r="B425" t="s">
        <v>930</v>
      </c>
      <c r="C425" s="9" t="s">
        <v>586</v>
      </c>
      <c r="D425" s="9" t="s">
        <v>115</v>
      </c>
      <c r="E425" s="9" t="s">
        <v>57</v>
      </c>
      <c r="F425">
        <v>23.430661059999998</v>
      </c>
      <c r="G425" s="9" t="s">
        <v>30</v>
      </c>
      <c r="H425" s="9" t="s">
        <v>734</v>
      </c>
      <c r="I425" s="9"/>
      <c r="J425" s="9"/>
      <c r="K425" s="9">
        <v>2024</v>
      </c>
      <c r="L425" s="9" t="s">
        <v>115</v>
      </c>
      <c r="M425" s="9">
        <v>23.430661059999998</v>
      </c>
      <c r="N425" s="9" t="s">
        <v>736</v>
      </c>
      <c r="O425" s="9"/>
      <c r="P425" s="1">
        <v>46178</v>
      </c>
      <c r="Q425" s="9"/>
      <c r="R425" s="9"/>
      <c r="S425" s="9"/>
    </row>
    <row r="426" spans="1:20">
      <c r="A426">
        <v>18</v>
      </c>
      <c r="B426" t="s">
        <v>930</v>
      </c>
      <c r="C426" s="9" t="s">
        <v>586</v>
      </c>
      <c r="D426" s="9" t="s">
        <v>115</v>
      </c>
      <c r="E426" s="9" t="s">
        <v>62</v>
      </c>
      <c r="F426">
        <v>24.643979730000002</v>
      </c>
      <c r="G426" s="9" t="s">
        <v>30</v>
      </c>
      <c r="H426" s="9" t="s">
        <v>734</v>
      </c>
      <c r="I426" s="9"/>
      <c r="J426" s="9"/>
      <c r="K426" s="9">
        <v>2023</v>
      </c>
      <c r="L426" s="9" t="s">
        <v>115</v>
      </c>
      <c r="M426" s="9">
        <v>24.643979730000002</v>
      </c>
      <c r="N426" s="9" t="s">
        <v>737</v>
      </c>
      <c r="O426" s="9"/>
      <c r="P426" s="1">
        <v>46178</v>
      </c>
      <c r="Q426" s="9"/>
      <c r="R426" s="9"/>
      <c r="S426" s="9"/>
    </row>
    <row r="427" spans="1:20">
      <c r="A427">
        <v>9</v>
      </c>
      <c r="B427" t="s">
        <v>919</v>
      </c>
      <c r="C427" t="s">
        <v>463</v>
      </c>
      <c r="D427" s="9" t="s">
        <v>115</v>
      </c>
      <c r="E427" s="9" t="s">
        <v>559</v>
      </c>
      <c r="F427">
        <f>F348/F347*100</f>
        <v>10.084580351333768</v>
      </c>
      <c r="G427" s="9" t="s">
        <v>30</v>
      </c>
      <c r="H427" s="9" t="s">
        <v>734</v>
      </c>
      <c r="I427" s="9"/>
      <c r="J427" s="9"/>
      <c r="K427" s="9">
        <v>2025</v>
      </c>
      <c r="L427" s="9" t="s">
        <v>115</v>
      </c>
      <c r="M427" s="11">
        <f>F427</f>
        <v>10.084580351333768</v>
      </c>
      <c r="N427" s="9" t="s">
        <v>734</v>
      </c>
      <c r="O427" s="9"/>
      <c r="P427" s="10">
        <v>46178</v>
      </c>
      <c r="Q427" s="9"/>
      <c r="R427" s="9"/>
      <c r="S427" s="9"/>
    </row>
    <row r="428" spans="1:20">
      <c r="A428">
        <v>9</v>
      </c>
      <c r="B428" t="s">
        <v>919</v>
      </c>
      <c r="C428" t="s">
        <v>463</v>
      </c>
      <c r="D428" s="9" t="s">
        <v>115</v>
      </c>
      <c r="E428" s="9" t="s">
        <v>19</v>
      </c>
      <c r="F428">
        <f>F353/F352*100</f>
        <v>12.121030197514559</v>
      </c>
      <c r="G428" s="9" t="s">
        <v>30</v>
      </c>
      <c r="H428" s="9" t="s">
        <v>734</v>
      </c>
      <c r="I428" s="9"/>
      <c r="J428" s="9"/>
      <c r="K428" s="9">
        <v>2024</v>
      </c>
      <c r="L428" s="9" t="s">
        <v>115</v>
      </c>
      <c r="M428" s="11">
        <f t="shared" ref="M428:M429" si="0">F428</f>
        <v>12.121030197514559</v>
      </c>
      <c r="N428" s="9" t="s">
        <v>734</v>
      </c>
      <c r="O428" s="9"/>
      <c r="P428" s="10">
        <v>46178</v>
      </c>
      <c r="Q428" s="9"/>
      <c r="R428" s="9"/>
      <c r="S428" s="9"/>
    </row>
    <row r="429" spans="1:20">
      <c r="A429">
        <v>9</v>
      </c>
      <c r="B429" t="s">
        <v>919</v>
      </c>
      <c r="C429" t="s">
        <v>463</v>
      </c>
      <c r="D429" s="9" t="s">
        <v>115</v>
      </c>
      <c r="E429" s="9" t="s">
        <v>39</v>
      </c>
      <c r="F429">
        <f>F358/F357*100</f>
        <v>7.9112497833246671</v>
      </c>
      <c r="G429" s="9" t="s">
        <v>30</v>
      </c>
      <c r="H429" s="9" t="s">
        <v>734</v>
      </c>
      <c r="I429" s="9"/>
      <c r="J429" s="9"/>
      <c r="K429" s="9">
        <v>2023</v>
      </c>
      <c r="L429" s="9" t="s">
        <v>115</v>
      </c>
      <c r="M429" s="11">
        <f t="shared" si="0"/>
        <v>7.9112497833246671</v>
      </c>
      <c r="N429" s="9" t="s">
        <v>734</v>
      </c>
      <c r="O429" s="9"/>
      <c r="P429" s="10">
        <v>46178</v>
      </c>
      <c r="Q429" s="9"/>
      <c r="R429" s="9"/>
      <c r="S429" s="9"/>
    </row>
    <row r="430" spans="1:20" ht="15">
      <c r="A430">
        <v>9</v>
      </c>
      <c r="B430" t="s">
        <v>919</v>
      </c>
      <c r="C430" s="9" t="s">
        <v>17</v>
      </c>
      <c r="D430" s="9" t="s">
        <v>738</v>
      </c>
      <c r="E430" s="9" t="s">
        <v>559</v>
      </c>
      <c r="F430">
        <v>85863</v>
      </c>
      <c r="G430" s="9" t="s">
        <v>560</v>
      </c>
      <c r="H430" s="9" t="s">
        <v>739</v>
      </c>
      <c r="I430" s="9"/>
      <c r="J430" s="9"/>
      <c r="K430" s="9">
        <v>2025</v>
      </c>
      <c r="L430" s="13" t="s">
        <v>821</v>
      </c>
      <c r="M430" s="9">
        <v>4121424</v>
      </c>
      <c r="N430" s="9" t="s">
        <v>750</v>
      </c>
      <c r="O430" s="9"/>
      <c r="P430" s="10">
        <v>46178</v>
      </c>
      <c r="Q430" s="9" t="s">
        <v>740</v>
      </c>
      <c r="R430" s="9" t="s">
        <v>741</v>
      </c>
      <c r="S430" s="9" t="s">
        <v>742</v>
      </c>
      <c r="T430" s="9" t="s">
        <v>743</v>
      </c>
    </row>
    <row r="431" spans="1:20">
      <c r="A431">
        <v>9</v>
      </c>
      <c r="B431" t="s">
        <v>919</v>
      </c>
      <c r="C431" s="9" t="s">
        <v>17</v>
      </c>
      <c r="D431" s="9" t="s">
        <v>111</v>
      </c>
      <c r="E431" s="9" t="s">
        <v>559</v>
      </c>
      <c r="F431">
        <v>22603</v>
      </c>
      <c r="G431" s="9" t="s">
        <v>560</v>
      </c>
      <c r="H431" s="9" t="s">
        <v>739</v>
      </c>
      <c r="I431" s="9"/>
      <c r="J431" s="9"/>
      <c r="K431" s="9">
        <v>2025</v>
      </c>
      <c r="L431" t="s">
        <v>35</v>
      </c>
      <c r="M431" s="9">
        <v>1084944</v>
      </c>
      <c r="N431" s="9" t="s">
        <v>751</v>
      </c>
      <c r="O431" s="9"/>
      <c r="P431" s="10">
        <v>46178</v>
      </c>
      <c r="Q431" s="9" t="s">
        <v>740</v>
      </c>
      <c r="R431" s="9" t="s">
        <v>744</v>
      </c>
      <c r="S431" s="9" t="s">
        <v>742</v>
      </c>
      <c r="T431" s="9" t="s">
        <v>743</v>
      </c>
    </row>
    <row r="432" spans="1:20" ht="15">
      <c r="A432">
        <v>9</v>
      </c>
      <c r="B432" t="s">
        <v>919</v>
      </c>
      <c r="C432" s="9" t="s">
        <v>17</v>
      </c>
      <c r="D432" s="9" t="s">
        <v>738</v>
      </c>
      <c r="E432" s="9" t="s">
        <v>19</v>
      </c>
      <c r="F432">
        <v>77780</v>
      </c>
      <c r="G432" s="9" t="s">
        <v>560</v>
      </c>
      <c r="H432" s="9" t="s">
        <v>745</v>
      </c>
      <c r="I432" s="9"/>
      <c r="J432" s="9"/>
      <c r="K432" s="9">
        <v>2024</v>
      </c>
      <c r="L432" s="13" t="s">
        <v>821</v>
      </c>
      <c r="M432" s="9">
        <v>3733440</v>
      </c>
      <c r="N432" s="9" t="s">
        <v>752</v>
      </c>
      <c r="O432" s="9"/>
      <c r="P432" s="10">
        <v>46178</v>
      </c>
      <c r="Q432" s="9" t="s">
        <v>740</v>
      </c>
      <c r="R432" s="9" t="s">
        <v>746</v>
      </c>
      <c r="S432" s="9" t="s">
        <v>747</v>
      </c>
      <c r="T432" s="9" t="s">
        <v>748</v>
      </c>
    </row>
    <row r="433" spans="1:20">
      <c r="A433">
        <v>9</v>
      </c>
      <c r="B433" t="s">
        <v>919</v>
      </c>
      <c r="C433" s="9" t="s">
        <v>17</v>
      </c>
      <c r="D433" s="9" t="s">
        <v>111</v>
      </c>
      <c r="E433" s="9" t="s">
        <v>19</v>
      </c>
      <c r="F433">
        <v>20777</v>
      </c>
      <c r="G433" s="9" t="s">
        <v>560</v>
      </c>
      <c r="H433" s="9" t="s">
        <v>745</v>
      </c>
      <c r="I433" s="9"/>
      <c r="J433" s="9"/>
      <c r="K433" s="9">
        <v>2024</v>
      </c>
      <c r="L433" t="s">
        <v>35</v>
      </c>
      <c r="M433" s="9">
        <v>997296</v>
      </c>
      <c r="N433" s="9" t="s">
        <v>753</v>
      </c>
      <c r="O433" s="9"/>
      <c r="P433" s="10">
        <v>46178</v>
      </c>
      <c r="Q433" s="9" t="s">
        <v>740</v>
      </c>
      <c r="R433" s="9" t="s">
        <v>749</v>
      </c>
      <c r="S433" s="9" t="s">
        <v>747</v>
      </c>
      <c r="T433" s="9" t="s">
        <v>748</v>
      </c>
    </row>
    <row r="434" spans="1:20" ht="15">
      <c r="A434">
        <v>9</v>
      </c>
      <c r="B434" t="s">
        <v>919</v>
      </c>
      <c r="C434" s="9" t="s">
        <v>17</v>
      </c>
      <c r="D434" s="9" t="s">
        <v>738</v>
      </c>
      <c r="E434" s="9" t="s">
        <v>39</v>
      </c>
      <c r="F434">
        <v>73666</v>
      </c>
      <c r="G434" s="9" t="s">
        <v>560</v>
      </c>
      <c r="H434" s="9" t="s">
        <v>745</v>
      </c>
      <c r="I434" s="9"/>
      <c r="J434" s="9"/>
      <c r="K434" s="9">
        <v>2023</v>
      </c>
      <c r="L434" s="13" t="s">
        <v>821</v>
      </c>
      <c r="M434" s="9">
        <v>3535968</v>
      </c>
      <c r="N434" s="9" t="s">
        <v>754</v>
      </c>
      <c r="O434" s="9"/>
      <c r="P434" s="10">
        <v>46178</v>
      </c>
      <c r="Q434" s="9" t="s">
        <v>740</v>
      </c>
      <c r="R434" s="9" t="s">
        <v>755</v>
      </c>
      <c r="S434" s="9" t="s">
        <v>756</v>
      </c>
      <c r="T434" s="9" t="s">
        <v>757</v>
      </c>
    </row>
    <row r="435" spans="1:20">
      <c r="A435">
        <v>9</v>
      </c>
      <c r="B435" t="s">
        <v>919</v>
      </c>
      <c r="C435" s="9" t="s">
        <v>17</v>
      </c>
      <c r="D435" s="9" t="s">
        <v>111</v>
      </c>
      <c r="E435" s="9" t="s">
        <v>39</v>
      </c>
      <c r="F435">
        <v>17279</v>
      </c>
      <c r="G435" s="9" t="s">
        <v>560</v>
      </c>
      <c r="H435" s="9" t="s">
        <v>745</v>
      </c>
      <c r="I435" s="9"/>
      <c r="J435" s="9"/>
      <c r="K435" s="9">
        <v>2023</v>
      </c>
      <c r="L435" t="s">
        <v>35</v>
      </c>
      <c r="M435" s="9">
        <v>829392</v>
      </c>
      <c r="N435" s="9" t="s">
        <v>758</v>
      </c>
      <c r="O435" s="9"/>
      <c r="P435" s="10">
        <v>46178</v>
      </c>
      <c r="Q435" s="9" t="s">
        <v>740</v>
      </c>
      <c r="R435" s="9" t="s">
        <v>759</v>
      </c>
      <c r="S435" s="9" t="s">
        <v>756</v>
      </c>
      <c r="T435" s="9" t="s">
        <v>760</v>
      </c>
    </row>
    <row r="436" spans="1:20" ht="15">
      <c r="A436">
        <v>14</v>
      </c>
      <c r="B436" t="s">
        <v>1079</v>
      </c>
      <c r="C436" t="s">
        <v>17</v>
      </c>
      <c r="D436" s="9" t="s">
        <v>102</v>
      </c>
      <c r="E436" s="9" t="s">
        <v>51</v>
      </c>
      <c r="F436">
        <v>3014</v>
      </c>
      <c r="G436" t="s">
        <v>773</v>
      </c>
      <c r="H436" t="s">
        <v>465</v>
      </c>
      <c r="I436" s="9">
        <v>76</v>
      </c>
      <c r="J436" s="9" t="s">
        <v>764</v>
      </c>
      <c r="K436" s="9">
        <v>2025</v>
      </c>
      <c r="L436" s="13" t="s">
        <v>774</v>
      </c>
      <c r="M436" s="9">
        <v>24413400</v>
      </c>
      <c r="N436" s="9" t="s">
        <v>763</v>
      </c>
      <c r="O436" s="9"/>
      <c r="P436" s="10">
        <v>46178</v>
      </c>
      <c r="Q436" s="9" t="s">
        <v>624</v>
      </c>
      <c r="R436" s="9"/>
      <c r="S436" s="9"/>
      <c r="T436" s="9"/>
    </row>
    <row r="437" spans="1:20">
      <c r="A437">
        <v>14</v>
      </c>
      <c r="B437" t="s">
        <v>1079</v>
      </c>
      <c r="C437" t="s">
        <v>17</v>
      </c>
      <c r="D437" s="9" t="s">
        <v>107</v>
      </c>
      <c r="E437" s="9" t="s">
        <v>51</v>
      </c>
      <c r="F437">
        <v>1893.6</v>
      </c>
      <c r="G437" t="s">
        <v>773</v>
      </c>
      <c r="H437" t="s">
        <v>465</v>
      </c>
      <c r="I437" s="9">
        <v>76</v>
      </c>
      <c r="J437" s="9" t="s">
        <v>764</v>
      </c>
      <c r="K437" s="9">
        <v>2025</v>
      </c>
      <c r="L437" t="s">
        <v>27</v>
      </c>
      <c r="M437" s="9">
        <v>15338160</v>
      </c>
      <c r="N437" s="9" t="s">
        <v>765</v>
      </c>
      <c r="O437" s="9"/>
      <c r="P437" s="10">
        <v>46178</v>
      </c>
      <c r="Q437" s="9" t="s">
        <v>624</v>
      </c>
      <c r="R437" s="9"/>
      <c r="S437" s="9"/>
      <c r="T437" s="9"/>
    </row>
    <row r="438" spans="1:20" ht="15">
      <c r="A438">
        <v>14</v>
      </c>
      <c r="B438" t="s">
        <v>1079</v>
      </c>
      <c r="C438" t="s">
        <v>17</v>
      </c>
      <c r="D438" s="9" t="s">
        <v>109</v>
      </c>
      <c r="E438" s="9" t="s">
        <v>51</v>
      </c>
      <c r="F438">
        <v>62.82</v>
      </c>
      <c r="G438" s="9" t="s">
        <v>30</v>
      </c>
      <c r="H438" t="s">
        <v>465</v>
      </c>
      <c r="I438" s="9">
        <v>76</v>
      </c>
      <c r="J438" s="9" t="s">
        <v>764</v>
      </c>
      <c r="K438" s="9">
        <v>2025</v>
      </c>
      <c r="L438" s="13" t="s">
        <v>775</v>
      </c>
      <c r="M438" s="9">
        <v>62.82</v>
      </c>
      <c r="N438" s="14">
        <v>0.62819999999999998</v>
      </c>
      <c r="O438" s="9"/>
      <c r="P438" s="10">
        <v>46178</v>
      </c>
      <c r="Q438" s="9" t="s">
        <v>624</v>
      </c>
      <c r="R438" s="9"/>
      <c r="S438" s="9"/>
      <c r="T438" s="9"/>
    </row>
    <row r="439" spans="1:20" ht="15">
      <c r="A439">
        <v>14</v>
      </c>
      <c r="B439" t="s">
        <v>1079</v>
      </c>
      <c r="C439" t="s">
        <v>17</v>
      </c>
      <c r="D439" s="9" t="s">
        <v>149</v>
      </c>
      <c r="E439" s="9" t="s">
        <v>51</v>
      </c>
      <c r="F439">
        <v>203.7</v>
      </c>
      <c r="G439" t="s">
        <v>773</v>
      </c>
      <c r="H439" t="s">
        <v>465</v>
      </c>
      <c r="I439" s="9">
        <v>76</v>
      </c>
      <c r="J439" s="9" t="s">
        <v>764</v>
      </c>
      <c r="K439" s="9">
        <v>2025</v>
      </c>
      <c r="L439" s="13" t="s">
        <v>776</v>
      </c>
      <c r="M439" s="9">
        <v>1649970</v>
      </c>
      <c r="N439" s="9" t="s">
        <v>766</v>
      </c>
      <c r="O439" s="9"/>
      <c r="P439" s="10">
        <v>46178</v>
      </c>
      <c r="Q439" s="9" t="s">
        <v>624</v>
      </c>
      <c r="R439" s="9"/>
      <c r="S439" s="9"/>
      <c r="T439" s="9"/>
    </row>
    <row r="440" spans="1:20" ht="15">
      <c r="A440">
        <v>14</v>
      </c>
      <c r="B440" t="s">
        <v>1079</v>
      </c>
      <c r="C440" t="s">
        <v>17</v>
      </c>
      <c r="D440" s="9" t="s">
        <v>151</v>
      </c>
      <c r="E440" s="9" t="s">
        <v>51</v>
      </c>
      <c r="F440">
        <v>6.76</v>
      </c>
      <c r="G440" s="9" t="s">
        <v>30</v>
      </c>
      <c r="H440" t="s">
        <v>465</v>
      </c>
      <c r="I440" s="9">
        <v>76</v>
      </c>
      <c r="J440" s="9" t="s">
        <v>764</v>
      </c>
      <c r="K440" s="9">
        <v>2025</v>
      </c>
      <c r="L440" s="13" t="s">
        <v>777</v>
      </c>
      <c r="M440" s="9">
        <v>6.76</v>
      </c>
      <c r="N440" s="14">
        <v>6.7599999999999993E-2</v>
      </c>
      <c r="O440" s="9"/>
      <c r="P440" s="10">
        <v>46178</v>
      </c>
      <c r="Q440" s="9" t="s">
        <v>624</v>
      </c>
      <c r="R440" s="9"/>
      <c r="S440" s="9"/>
      <c r="T440" s="9"/>
    </row>
    <row r="441" spans="1:20" ht="15">
      <c r="A441">
        <v>14</v>
      </c>
      <c r="B441" t="s">
        <v>1079</v>
      </c>
      <c r="C441" t="s">
        <v>17</v>
      </c>
      <c r="D441" s="9" t="s">
        <v>102</v>
      </c>
      <c r="E441" s="9" t="s">
        <v>57</v>
      </c>
      <c r="F441">
        <v>2318.3000000000002</v>
      </c>
      <c r="G441" t="s">
        <v>773</v>
      </c>
      <c r="H441" t="s">
        <v>465</v>
      </c>
      <c r="I441" s="9">
        <v>76</v>
      </c>
      <c r="J441" s="9" t="s">
        <v>764</v>
      </c>
      <c r="K441" s="9">
        <v>2024</v>
      </c>
      <c r="L441" s="13" t="s">
        <v>774</v>
      </c>
      <c r="M441" s="9">
        <v>18778230</v>
      </c>
      <c r="N441" s="9" t="s">
        <v>767</v>
      </c>
      <c r="O441" s="9"/>
      <c r="P441" s="10">
        <v>46178</v>
      </c>
      <c r="Q441" s="9" t="s">
        <v>624</v>
      </c>
      <c r="R441" s="9"/>
      <c r="S441" s="9"/>
      <c r="T441" s="9"/>
    </row>
    <row r="442" spans="1:20">
      <c r="A442">
        <v>14</v>
      </c>
      <c r="B442" t="s">
        <v>1079</v>
      </c>
      <c r="C442" t="s">
        <v>17</v>
      </c>
      <c r="D442" s="9" t="s">
        <v>107</v>
      </c>
      <c r="E442" s="9" t="s">
        <v>57</v>
      </c>
      <c r="F442">
        <v>1405.7</v>
      </c>
      <c r="G442" t="s">
        <v>773</v>
      </c>
      <c r="H442" t="s">
        <v>465</v>
      </c>
      <c r="I442" s="9">
        <v>76</v>
      </c>
      <c r="J442" s="9" t="s">
        <v>764</v>
      </c>
      <c r="K442" s="9">
        <v>2024</v>
      </c>
      <c r="L442" t="s">
        <v>27</v>
      </c>
      <c r="M442" s="9">
        <v>11386170</v>
      </c>
      <c r="N442" s="9" t="s">
        <v>768</v>
      </c>
      <c r="O442" s="9"/>
      <c r="P442" s="10">
        <v>46178</v>
      </c>
      <c r="Q442" s="9" t="s">
        <v>624</v>
      </c>
      <c r="R442" s="9"/>
      <c r="S442" s="9"/>
      <c r="T442" s="9"/>
    </row>
    <row r="443" spans="1:20" ht="15">
      <c r="A443">
        <v>14</v>
      </c>
      <c r="B443" t="s">
        <v>1079</v>
      </c>
      <c r="C443" t="s">
        <v>17</v>
      </c>
      <c r="D443" s="9" t="s">
        <v>109</v>
      </c>
      <c r="E443" s="9" t="s">
        <v>57</v>
      </c>
      <c r="F443">
        <v>60.63</v>
      </c>
      <c r="G443" s="9" t="s">
        <v>30</v>
      </c>
      <c r="H443" t="s">
        <v>465</v>
      </c>
      <c r="I443" s="9">
        <v>76</v>
      </c>
      <c r="J443" s="9" t="s">
        <v>764</v>
      </c>
      <c r="K443" s="9">
        <v>2024</v>
      </c>
      <c r="L443" s="13" t="s">
        <v>775</v>
      </c>
      <c r="M443" s="9">
        <v>60.63</v>
      </c>
      <c r="N443" s="14">
        <v>0.60629999999999995</v>
      </c>
      <c r="O443" s="9"/>
      <c r="P443" s="10">
        <v>46178</v>
      </c>
      <c r="Q443" s="9" t="s">
        <v>624</v>
      </c>
      <c r="R443" s="9"/>
      <c r="S443" s="9"/>
      <c r="T443" s="9"/>
    </row>
    <row r="444" spans="1:20" ht="15">
      <c r="A444">
        <v>14</v>
      </c>
      <c r="B444" t="s">
        <v>1079</v>
      </c>
      <c r="C444" t="s">
        <v>17</v>
      </c>
      <c r="D444" s="9" t="s">
        <v>149</v>
      </c>
      <c r="E444" s="9" t="s">
        <v>57</v>
      </c>
      <c r="F444">
        <v>242.3</v>
      </c>
      <c r="G444" t="s">
        <v>773</v>
      </c>
      <c r="H444" t="s">
        <v>465</v>
      </c>
      <c r="I444" s="9">
        <v>76</v>
      </c>
      <c r="J444" s="9" t="s">
        <v>764</v>
      </c>
      <c r="K444" s="9">
        <v>2024</v>
      </c>
      <c r="L444" s="13" t="s">
        <v>776</v>
      </c>
      <c r="M444" s="9">
        <v>1962630</v>
      </c>
      <c r="N444" s="9" t="s">
        <v>769</v>
      </c>
      <c r="O444" s="9"/>
      <c r="P444" s="10">
        <v>46178</v>
      </c>
      <c r="Q444" s="9" t="s">
        <v>624</v>
      </c>
      <c r="R444" s="9"/>
      <c r="S444" s="9"/>
      <c r="T444" s="9"/>
    </row>
    <row r="445" spans="1:20" ht="15">
      <c r="A445">
        <v>14</v>
      </c>
      <c r="B445" t="s">
        <v>1079</v>
      </c>
      <c r="C445" t="s">
        <v>17</v>
      </c>
      <c r="D445" s="9" t="s">
        <v>151</v>
      </c>
      <c r="E445" s="9" t="s">
        <v>57</v>
      </c>
      <c r="F445">
        <v>10.45</v>
      </c>
      <c r="G445" s="9" t="s">
        <v>30</v>
      </c>
      <c r="H445" t="s">
        <v>465</v>
      </c>
      <c r="I445" s="9">
        <v>76</v>
      </c>
      <c r="J445" s="9" t="s">
        <v>764</v>
      </c>
      <c r="K445" s="9">
        <v>2024</v>
      </c>
      <c r="L445" s="13" t="s">
        <v>777</v>
      </c>
      <c r="M445" s="9">
        <v>10.45</v>
      </c>
      <c r="N445" s="14">
        <v>0.1045</v>
      </c>
      <c r="O445" s="9"/>
      <c r="P445" s="10">
        <v>46178</v>
      </c>
      <c r="Q445" s="9" t="s">
        <v>624</v>
      </c>
      <c r="R445" s="9"/>
      <c r="S445" s="9"/>
      <c r="T445" s="9"/>
    </row>
    <row r="446" spans="1:20" ht="15">
      <c r="A446">
        <v>14</v>
      </c>
      <c r="B446" t="s">
        <v>1079</v>
      </c>
      <c r="C446" t="s">
        <v>17</v>
      </c>
      <c r="D446" s="9" t="s">
        <v>102</v>
      </c>
      <c r="E446" s="9" t="s">
        <v>62</v>
      </c>
      <c r="F446">
        <v>1792.1</v>
      </c>
      <c r="G446" t="s">
        <v>773</v>
      </c>
      <c r="H446" t="s">
        <v>465</v>
      </c>
      <c r="I446" s="9">
        <v>76</v>
      </c>
      <c r="J446" s="9" t="s">
        <v>764</v>
      </c>
      <c r="K446" s="9">
        <v>2023</v>
      </c>
      <c r="L446" s="13" t="s">
        <v>774</v>
      </c>
      <c r="M446" s="9">
        <v>14516010</v>
      </c>
      <c r="N446" s="9" t="s">
        <v>770</v>
      </c>
      <c r="O446" s="9"/>
      <c r="P446" s="10">
        <v>46178</v>
      </c>
      <c r="Q446" s="9" t="s">
        <v>624</v>
      </c>
      <c r="R446" s="9"/>
      <c r="S446" s="9"/>
      <c r="T446" s="9"/>
    </row>
    <row r="447" spans="1:20">
      <c r="A447">
        <v>14</v>
      </c>
      <c r="B447" t="s">
        <v>1079</v>
      </c>
      <c r="C447" t="s">
        <v>17</v>
      </c>
      <c r="D447" s="9" t="s">
        <v>107</v>
      </c>
      <c r="E447" s="9" t="s">
        <v>62</v>
      </c>
      <c r="F447">
        <v>1067.2</v>
      </c>
      <c r="G447" t="s">
        <v>773</v>
      </c>
      <c r="H447" t="s">
        <v>465</v>
      </c>
      <c r="I447" s="9">
        <v>76</v>
      </c>
      <c r="J447" s="9" t="s">
        <v>764</v>
      </c>
      <c r="K447" s="9">
        <v>2023</v>
      </c>
      <c r="L447" t="s">
        <v>27</v>
      </c>
      <c r="M447" s="9">
        <v>8644320</v>
      </c>
      <c r="N447" s="9" t="s">
        <v>771</v>
      </c>
      <c r="O447" s="9"/>
      <c r="P447" s="10">
        <v>46178</v>
      </c>
      <c r="Q447" s="9" t="s">
        <v>624</v>
      </c>
      <c r="R447" s="9"/>
      <c r="S447" s="9"/>
      <c r="T447" s="9"/>
    </row>
    <row r="448" spans="1:20" ht="15">
      <c r="A448">
        <v>14</v>
      </c>
      <c r="B448" t="s">
        <v>1079</v>
      </c>
      <c r="C448" t="s">
        <v>17</v>
      </c>
      <c r="D448" s="9" t="s">
        <v>109</v>
      </c>
      <c r="E448" s="9" t="s">
        <v>62</v>
      </c>
      <c r="F448">
        <v>59.55</v>
      </c>
      <c r="G448" s="9" t="s">
        <v>30</v>
      </c>
      <c r="H448" t="s">
        <v>465</v>
      </c>
      <c r="I448" s="9">
        <v>76</v>
      </c>
      <c r="J448" s="9" t="s">
        <v>764</v>
      </c>
      <c r="K448" s="9">
        <v>2023</v>
      </c>
      <c r="L448" s="13" t="s">
        <v>775</v>
      </c>
      <c r="M448" s="9">
        <v>59.55</v>
      </c>
      <c r="N448" s="14">
        <v>0.59550000000000003</v>
      </c>
      <c r="O448" s="9"/>
      <c r="P448" s="10">
        <v>46178</v>
      </c>
      <c r="Q448" s="9" t="s">
        <v>624</v>
      </c>
      <c r="R448" s="9"/>
      <c r="S448" s="9"/>
      <c r="T448" s="9"/>
    </row>
    <row r="449" spans="1:20" ht="15">
      <c r="A449">
        <v>14</v>
      </c>
      <c r="B449" t="s">
        <v>1079</v>
      </c>
      <c r="C449" t="s">
        <v>17</v>
      </c>
      <c r="D449" s="9" t="s">
        <v>149</v>
      </c>
      <c r="E449" s="9" t="s">
        <v>62</v>
      </c>
      <c r="F449">
        <v>79.599999999999994</v>
      </c>
      <c r="G449" t="s">
        <v>773</v>
      </c>
      <c r="H449" t="s">
        <v>465</v>
      </c>
      <c r="I449" s="9">
        <v>76</v>
      </c>
      <c r="J449" s="9" t="s">
        <v>764</v>
      </c>
      <c r="K449" s="9">
        <v>2023</v>
      </c>
      <c r="L449" s="13" t="s">
        <v>776</v>
      </c>
      <c r="M449" s="9">
        <v>644760</v>
      </c>
      <c r="N449" s="9" t="s">
        <v>772</v>
      </c>
      <c r="O449" s="9"/>
      <c r="P449" s="10">
        <v>46178</v>
      </c>
      <c r="Q449" s="9" t="s">
        <v>624</v>
      </c>
      <c r="R449" s="9"/>
      <c r="S449" s="9"/>
      <c r="T449" s="9"/>
    </row>
    <row r="450" spans="1:20" ht="15">
      <c r="A450">
        <v>14</v>
      </c>
      <c r="B450" t="s">
        <v>1079</v>
      </c>
      <c r="C450" t="s">
        <v>17</v>
      </c>
      <c r="D450" s="9" t="s">
        <v>151</v>
      </c>
      <c r="E450" s="9" t="s">
        <v>62</v>
      </c>
      <c r="F450">
        <v>4.4400000000000004</v>
      </c>
      <c r="G450" s="9" t="s">
        <v>30</v>
      </c>
      <c r="H450" t="s">
        <v>465</v>
      </c>
      <c r="I450" s="9">
        <v>76</v>
      </c>
      <c r="J450" s="9" t="s">
        <v>764</v>
      </c>
      <c r="K450" s="9">
        <v>2023</v>
      </c>
      <c r="L450" s="13" t="s">
        <v>777</v>
      </c>
      <c r="M450" s="9">
        <v>4.4400000000000004</v>
      </c>
      <c r="N450" s="14">
        <v>4.4400000000000002E-2</v>
      </c>
      <c r="O450" s="9"/>
      <c r="P450" s="10">
        <v>46178</v>
      </c>
      <c r="Q450" s="9" t="s">
        <v>624</v>
      </c>
      <c r="R450" s="9"/>
      <c r="S450" s="9"/>
      <c r="T450" s="9"/>
    </row>
    <row r="451" spans="1:20" ht="15">
      <c r="A451">
        <v>14</v>
      </c>
      <c r="B451" t="s">
        <v>1079</v>
      </c>
      <c r="C451" t="s">
        <v>17</v>
      </c>
      <c r="D451" s="9" t="s">
        <v>738</v>
      </c>
      <c r="E451" s="9" t="s">
        <v>57</v>
      </c>
      <c r="F451">
        <v>1194.2</v>
      </c>
      <c r="G451" s="9" t="s">
        <v>161</v>
      </c>
      <c r="H451" s="9" t="s">
        <v>778</v>
      </c>
      <c r="I451" s="9">
        <v>78</v>
      </c>
      <c r="J451" s="9" t="s">
        <v>780</v>
      </c>
      <c r="K451" s="9">
        <v>2024</v>
      </c>
      <c r="L451" s="13" t="s">
        <v>821</v>
      </c>
      <c r="M451" s="9">
        <v>9673020</v>
      </c>
      <c r="N451" s="9" t="s">
        <v>779</v>
      </c>
      <c r="O451" s="9"/>
      <c r="P451" s="10">
        <v>46178</v>
      </c>
      <c r="Q451" s="9" t="s">
        <v>624</v>
      </c>
      <c r="R451" s="9"/>
      <c r="S451" s="9"/>
      <c r="T451" s="9"/>
    </row>
    <row r="452" spans="1:20" ht="15">
      <c r="A452">
        <v>14</v>
      </c>
      <c r="B452" t="s">
        <v>1079</v>
      </c>
      <c r="C452" t="s">
        <v>17</v>
      </c>
      <c r="D452" s="9" t="s">
        <v>781</v>
      </c>
      <c r="E452" s="9" t="s">
        <v>57</v>
      </c>
      <c r="F452">
        <v>51.5</v>
      </c>
      <c r="G452" s="9" t="s">
        <v>30</v>
      </c>
      <c r="H452" s="9" t="s">
        <v>778</v>
      </c>
      <c r="I452" s="9">
        <v>78</v>
      </c>
      <c r="J452" s="9" t="s">
        <v>780</v>
      </c>
      <c r="K452" s="9">
        <v>2024</v>
      </c>
      <c r="L452" s="13" t="s">
        <v>822</v>
      </c>
      <c r="M452" s="9">
        <v>51.5</v>
      </c>
      <c r="N452" s="14">
        <v>0.51500000000000001</v>
      </c>
      <c r="O452" s="9"/>
      <c r="P452" s="10">
        <v>46178</v>
      </c>
      <c r="Q452" s="9" t="s">
        <v>624</v>
      </c>
      <c r="R452" s="9"/>
      <c r="S452" s="9"/>
      <c r="T452" s="9"/>
    </row>
    <row r="453" spans="1:20" ht="15">
      <c r="A453">
        <v>14</v>
      </c>
      <c r="B453" t="s">
        <v>1079</v>
      </c>
      <c r="C453" t="s">
        <v>17</v>
      </c>
      <c r="D453" s="9" t="s">
        <v>738</v>
      </c>
      <c r="E453" s="9" t="s">
        <v>62</v>
      </c>
      <c r="F453">
        <v>887</v>
      </c>
      <c r="G453" s="9" t="s">
        <v>161</v>
      </c>
      <c r="H453" s="9" t="s">
        <v>778</v>
      </c>
      <c r="I453" s="9">
        <v>78</v>
      </c>
      <c r="J453" s="9" t="s">
        <v>780</v>
      </c>
      <c r="K453" s="9">
        <v>2023</v>
      </c>
      <c r="L453" s="13" t="s">
        <v>821</v>
      </c>
      <c r="M453" s="9">
        <v>7184700</v>
      </c>
      <c r="N453" s="9" t="s">
        <v>782</v>
      </c>
      <c r="O453" s="9"/>
      <c r="P453" s="10">
        <v>46178</v>
      </c>
      <c r="Q453" s="9" t="s">
        <v>624</v>
      </c>
      <c r="R453" s="9"/>
      <c r="S453" s="9"/>
      <c r="T453" s="9"/>
    </row>
    <row r="454" spans="1:20" ht="15">
      <c r="A454">
        <v>14</v>
      </c>
      <c r="B454" t="s">
        <v>1079</v>
      </c>
      <c r="C454" t="s">
        <v>17</v>
      </c>
      <c r="D454" s="9" t="s">
        <v>781</v>
      </c>
      <c r="E454" s="9" t="s">
        <v>62</v>
      </c>
      <c r="F454">
        <v>49.5</v>
      </c>
      <c r="G454" s="9" t="s">
        <v>30</v>
      </c>
      <c r="H454" s="9" t="s">
        <v>778</v>
      </c>
      <c r="I454" s="9">
        <v>78</v>
      </c>
      <c r="J454" s="9" t="s">
        <v>780</v>
      </c>
      <c r="K454" s="9">
        <v>2023</v>
      </c>
      <c r="L454" s="13" t="s">
        <v>822</v>
      </c>
      <c r="M454" s="9">
        <v>49.5</v>
      </c>
      <c r="N454" s="14">
        <v>0.495</v>
      </c>
      <c r="O454" s="9"/>
      <c r="P454" s="10">
        <v>46178</v>
      </c>
      <c r="Q454" s="9" t="s">
        <v>624</v>
      </c>
      <c r="R454" s="9"/>
      <c r="S454" s="9"/>
      <c r="T454" s="9"/>
    </row>
    <row r="455" spans="1:20" ht="15">
      <c r="A455">
        <v>14</v>
      </c>
      <c r="B455" t="s">
        <v>1079</v>
      </c>
      <c r="C455" t="s">
        <v>17</v>
      </c>
      <c r="D455" s="9" t="s">
        <v>738</v>
      </c>
      <c r="E455" s="9" t="s">
        <v>51</v>
      </c>
      <c r="F455">
        <v>1516.6</v>
      </c>
      <c r="G455" s="9" t="s">
        <v>161</v>
      </c>
      <c r="H455" s="9" t="s">
        <v>762</v>
      </c>
      <c r="I455" s="9">
        <v>78</v>
      </c>
      <c r="J455" s="9" t="s">
        <v>784</v>
      </c>
      <c r="K455" s="9">
        <v>2025</v>
      </c>
      <c r="L455" s="13" t="s">
        <v>821</v>
      </c>
      <c r="M455" s="9">
        <v>12284460</v>
      </c>
      <c r="N455" s="9" t="s">
        <v>783</v>
      </c>
      <c r="O455" s="9"/>
      <c r="P455" s="10">
        <v>46178</v>
      </c>
      <c r="Q455" s="9" t="s">
        <v>624</v>
      </c>
      <c r="R455" s="9"/>
      <c r="S455" s="9"/>
      <c r="T455" s="9"/>
    </row>
    <row r="456" spans="1:20" ht="15">
      <c r="A456">
        <v>14</v>
      </c>
      <c r="B456" t="s">
        <v>1079</v>
      </c>
      <c r="C456" t="s">
        <v>17</v>
      </c>
      <c r="D456" s="9" t="s">
        <v>781</v>
      </c>
      <c r="E456" s="9" t="s">
        <v>51</v>
      </c>
      <c r="F456">
        <v>50.3</v>
      </c>
      <c r="G456" s="9" t="s">
        <v>30</v>
      </c>
      <c r="H456" s="9" t="s">
        <v>762</v>
      </c>
      <c r="I456" s="9">
        <v>78</v>
      </c>
      <c r="J456" s="9" t="s">
        <v>784</v>
      </c>
      <c r="K456" s="9">
        <v>2025</v>
      </c>
      <c r="L456" s="13" t="s">
        <v>822</v>
      </c>
      <c r="M456" s="9">
        <v>50.3</v>
      </c>
      <c r="N456" s="14">
        <v>0.503</v>
      </c>
      <c r="O456" s="9"/>
      <c r="P456" s="10">
        <v>46178</v>
      </c>
      <c r="Q456" s="9" t="s">
        <v>624</v>
      </c>
      <c r="R456" s="9"/>
      <c r="S456" s="9"/>
      <c r="T456" s="9"/>
    </row>
    <row r="457" spans="1:20">
      <c r="A457">
        <v>8</v>
      </c>
      <c r="B457" t="s">
        <v>449</v>
      </c>
      <c r="C457" t="s">
        <v>17</v>
      </c>
      <c r="D457" s="9" t="s">
        <v>107</v>
      </c>
      <c r="E457" s="9" t="s">
        <v>62</v>
      </c>
      <c r="F457">
        <v>2308.1</v>
      </c>
      <c r="G457" s="9" t="s">
        <v>248</v>
      </c>
      <c r="H457" t="s">
        <v>819</v>
      </c>
      <c r="I457" s="9">
        <v>101</v>
      </c>
      <c r="J457" s="9" t="s">
        <v>787</v>
      </c>
      <c r="K457" s="9">
        <v>2023</v>
      </c>
      <c r="L457" t="s">
        <v>27</v>
      </c>
      <c r="M457" s="11">
        <v>16618320</v>
      </c>
      <c r="N457" s="9" t="s">
        <v>786</v>
      </c>
      <c r="O457" s="9"/>
      <c r="P457" s="10">
        <v>46178</v>
      </c>
      <c r="Q457" t="s">
        <v>624</v>
      </c>
      <c r="S457" s="9"/>
      <c r="T457" s="9"/>
    </row>
    <row r="458" spans="1:20">
      <c r="A458">
        <v>8</v>
      </c>
      <c r="B458" t="s">
        <v>449</v>
      </c>
      <c r="C458" t="s">
        <v>17</v>
      </c>
      <c r="D458" s="9" t="s">
        <v>111</v>
      </c>
      <c r="E458" s="9" t="s">
        <v>62</v>
      </c>
      <c r="F458">
        <v>302.39999999999998</v>
      </c>
      <c r="G458" s="9" t="s">
        <v>248</v>
      </c>
      <c r="H458" t="s">
        <v>819</v>
      </c>
      <c r="I458" s="9">
        <v>101</v>
      </c>
      <c r="J458" s="9" t="s">
        <v>789</v>
      </c>
      <c r="K458" s="9">
        <v>2023</v>
      </c>
      <c r="L458" t="s">
        <v>35</v>
      </c>
      <c r="M458" s="11">
        <v>2177280</v>
      </c>
      <c r="N458" s="9" t="s">
        <v>788</v>
      </c>
      <c r="O458" s="9"/>
      <c r="P458" s="10">
        <v>46178</v>
      </c>
      <c r="Q458" t="s">
        <v>624</v>
      </c>
      <c r="S458" s="9"/>
      <c r="T458" s="9"/>
    </row>
    <row r="459" spans="1:20" ht="15">
      <c r="A459">
        <v>8</v>
      </c>
      <c r="B459" t="s">
        <v>449</v>
      </c>
      <c r="C459" t="s">
        <v>17</v>
      </c>
      <c r="D459" s="9" t="s">
        <v>113</v>
      </c>
      <c r="E459" s="9" t="s">
        <v>62</v>
      </c>
      <c r="F459">
        <v>6.9</v>
      </c>
      <c r="G459" s="9" t="s">
        <v>30</v>
      </c>
      <c r="H459" t="s">
        <v>819</v>
      </c>
      <c r="I459" s="9">
        <v>101</v>
      </c>
      <c r="J459" s="9" t="s">
        <v>790</v>
      </c>
      <c r="K459" s="9">
        <v>2023</v>
      </c>
      <c r="L459" s="13" t="s">
        <v>820</v>
      </c>
      <c r="M459" s="11">
        <v>6.9</v>
      </c>
      <c r="N459" s="14">
        <v>6.9000000000000006E-2</v>
      </c>
      <c r="O459" s="9"/>
      <c r="P459" s="10">
        <v>46178</v>
      </c>
      <c r="Q459" t="s">
        <v>624</v>
      </c>
      <c r="S459" s="9"/>
      <c r="T459" s="9"/>
    </row>
    <row r="460" spans="1:20" ht="15">
      <c r="A460">
        <v>8</v>
      </c>
      <c r="B460" t="s">
        <v>449</v>
      </c>
      <c r="C460" t="s">
        <v>17</v>
      </c>
      <c r="D460" s="9" t="s">
        <v>149</v>
      </c>
      <c r="E460" s="9" t="s">
        <v>62</v>
      </c>
      <c r="F460">
        <v>-208.8</v>
      </c>
      <c r="G460" s="9" t="s">
        <v>248</v>
      </c>
      <c r="H460" t="s">
        <v>819</v>
      </c>
      <c r="I460" s="9">
        <v>101</v>
      </c>
      <c r="J460" s="9" t="s">
        <v>792</v>
      </c>
      <c r="K460" s="9">
        <v>2023</v>
      </c>
      <c r="L460" s="13" t="s">
        <v>776</v>
      </c>
      <c r="M460" s="11">
        <v>-1503360</v>
      </c>
      <c r="N460" s="9" t="s">
        <v>791</v>
      </c>
      <c r="O460" s="9"/>
      <c r="P460" s="10">
        <v>46178</v>
      </c>
      <c r="Q460" t="s">
        <v>624</v>
      </c>
      <c r="S460" s="9"/>
      <c r="T460" s="9"/>
    </row>
    <row r="461" spans="1:20" ht="15">
      <c r="A461">
        <v>8</v>
      </c>
      <c r="B461" t="s">
        <v>449</v>
      </c>
      <c r="C461" t="s">
        <v>17</v>
      </c>
      <c r="D461" s="9" t="s">
        <v>151</v>
      </c>
      <c r="E461" s="9" t="s">
        <v>62</v>
      </c>
      <c r="F461">
        <v>-4.7</v>
      </c>
      <c r="G461" s="9" t="s">
        <v>30</v>
      </c>
      <c r="H461" t="s">
        <v>819</v>
      </c>
      <c r="I461" s="9">
        <v>101</v>
      </c>
      <c r="J461" s="9" t="s">
        <v>793</v>
      </c>
      <c r="K461" s="9">
        <v>2023</v>
      </c>
      <c r="L461" s="13" t="s">
        <v>777</v>
      </c>
      <c r="M461" s="11">
        <v>-4.7</v>
      </c>
      <c r="N461" s="14">
        <v>-4.7E-2</v>
      </c>
      <c r="O461" s="9"/>
      <c r="P461" s="10">
        <v>46178</v>
      </c>
      <c r="Q461" t="s">
        <v>624</v>
      </c>
      <c r="S461" s="9"/>
      <c r="T461" s="9"/>
    </row>
    <row r="462" spans="1:20" ht="15">
      <c r="A462">
        <v>8</v>
      </c>
      <c r="B462" t="s">
        <v>449</v>
      </c>
      <c r="C462" t="s">
        <v>17</v>
      </c>
      <c r="D462" s="9" t="s">
        <v>738</v>
      </c>
      <c r="E462" s="9" t="s">
        <v>62</v>
      </c>
      <c r="F462">
        <v>2014.5</v>
      </c>
      <c r="G462" s="9" t="s">
        <v>248</v>
      </c>
      <c r="H462" t="s">
        <v>819</v>
      </c>
      <c r="I462" s="9">
        <v>101</v>
      </c>
      <c r="J462" s="9" t="s">
        <v>795</v>
      </c>
      <c r="K462" s="9">
        <v>2023</v>
      </c>
      <c r="L462" s="13" t="s">
        <v>821</v>
      </c>
      <c r="M462" s="11">
        <v>14504400</v>
      </c>
      <c r="N462" s="9" t="s">
        <v>794</v>
      </c>
      <c r="O462" s="9"/>
      <c r="P462" s="10">
        <v>46178</v>
      </c>
      <c r="Q462" t="s">
        <v>624</v>
      </c>
      <c r="S462" s="9"/>
      <c r="T462" s="9"/>
    </row>
    <row r="463" spans="1:20" ht="15">
      <c r="A463">
        <v>8</v>
      </c>
      <c r="B463" t="s">
        <v>449</v>
      </c>
      <c r="C463" t="s">
        <v>17</v>
      </c>
      <c r="D463" s="9" t="s">
        <v>781</v>
      </c>
      <c r="E463" s="9" t="s">
        <v>62</v>
      </c>
      <c r="F463">
        <v>45.8</v>
      </c>
      <c r="G463" s="9" t="s">
        <v>30</v>
      </c>
      <c r="H463" t="s">
        <v>819</v>
      </c>
      <c r="I463" s="9">
        <v>101</v>
      </c>
      <c r="J463" s="9" t="s">
        <v>796</v>
      </c>
      <c r="K463" s="9">
        <v>2023</v>
      </c>
      <c r="L463" s="13" t="s">
        <v>822</v>
      </c>
      <c r="M463" s="11">
        <v>45.8</v>
      </c>
      <c r="N463" s="14">
        <v>0.45800000000000002</v>
      </c>
      <c r="O463" s="9"/>
      <c r="P463" s="10">
        <v>46178</v>
      </c>
      <c r="Q463" t="s">
        <v>624</v>
      </c>
      <c r="S463" s="9"/>
      <c r="T463" s="9"/>
    </row>
    <row r="464" spans="1:20">
      <c r="A464">
        <v>8</v>
      </c>
      <c r="B464" t="s">
        <v>449</v>
      </c>
      <c r="C464" t="s">
        <v>17</v>
      </c>
      <c r="D464" s="9" t="s">
        <v>107</v>
      </c>
      <c r="E464" s="9" t="s">
        <v>57</v>
      </c>
      <c r="F464">
        <v>2871.8</v>
      </c>
      <c r="G464" s="9" t="s">
        <v>248</v>
      </c>
      <c r="H464" t="s">
        <v>450</v>
      </c>
      <c r="I464" s="9">
        <v>101</v>
      </c>
      <c r="J464" s="9" t="s">
        <v>798</v>
      </c>
      <c r="K464" s="9">
        <v>2024</v>
      </c>
      <c r="L464" t="s">
        <v>27</v>
      </c>
      <c r="M464" s="11">
        <v>20676960</v>
      </c>
      <c r="N464" s="9" t="s">
        <v>797</v>
      </c>
      <c r="O464" s="9"/>
      <c r="P464" s="10">
        <v>46178</v>
      </c>
      <c r="Q464" t="s">
        <v>624</v>
      </c>
      <c r="S464" s="9"/>
      <c r="T464" s="9"/>
    </row>
    <row r="465" spans="1:20">
      <c r="A465">
        <v>8</v>
      </c>
      <c r="B465" t="s">
        <v>449</v>
      </c>
      <c r="C465" t="s">
        <v>17</v>
      </c>
      <c r="D465" s="9" t="s">
        <v>111</v>
      </c>
      <c r="E465" s="9" t="s">
        <v>57</v>
      </c>
      <c r="F465">
        <v>470.8</v>
      </c>
      <c r="G465" s="9" t="s">
        <v>248</v>
      </c>
      <c r="H465" t="s">
        <v>450</v>
      </c>
      <c r="I465" s="9">
        <v>101</v>
      </c>
      <c r="J465" s="9" t="s">
        <v>800</v>
      </c>
      <c r="K465" s="9">
        <v>2024</v>
      </c>
      <c r="L465" t="s">
        <v>35</v>
      </c>
      <c r="M465" s="11">
        <v>3389760</v>
      </c>
      <c r="N465" s="9" t="s">
        <v>799</v>
      </c>
      <c r="O465" s="9"/>
      <c r="P465" s="10">
        <v>46178</v>
      </c>
      <c r="Q465" t="s">
        <v>624</v>
      </c>
      <c r="S465" s="9"/>
      <c r="T465" s="9"/>
    </row>
    <row r="466" spans="1:20" ht="15">
      <c r="A466">
        <v>8</v>
      </c>
      <c r="B466" t="s">
        <v>449</v>
      </c>
      <c r="C466" t="s">
        <v>17</v>
      </c>
      <c r="D466" s="9" t="s">
        <v>113</v>
      </c>
      <c r="E466" s="9" t="s">
        <v>57</v>
      </c>
      <c r="F466">
        <v>9.1</v>
      </c>
      <c r="G466" s="9" t="s">
        <v>30</v>
      </c>
      <c r="H466" t="s">
        <v>450</v>
      </c>
      <c r="I466" s="9">
        <v>101</v>
      </c>
      <c r="J466" s="9" t="s">
        <v>801</v>
      </c>
      <c r="K466" s="9">
        <v>2024</v>
      </c>
      <c r="L466" s="13" t="s">
        <v>820</v>
      </c>
      <c r="M466" s="11">
        <v>9.1</v>
      </c>
      <c r="N466" s="14">
        <v>9.0999999999999998E-2</v>
      </c>
      <c r="O466" s="9"/>
      <c r="P466" s="10">
        <v>46178</v>
      </c>
      <c r="Q466" t="s">
        <v>624</v>
      </c>
      <c r="S466" s="9"/>
      <c r="T466" s="9"/>
    </row>
    <row r="467" spans="1:20" ht="15">
      <c r="A467">
        <v>8</v>
      </c>
      <c r="B467" t="s">
        <v>449</v>
      </c>
      <c r="C467" t="s">
        <v>17</v>
      </c>
      <c r="D467" s="9" t="s">
        <v>149</v>
      </c>
      <c r="E467" s="9" t="s">
        <v>57</v>
      </c>
      <c r="F467">
        <v>78.400000000000006</v>
      </c>
      <c r="G467" s="9" t="s">
        <v>248</v>
      </c>
      <c r="H467" t="s">
        <v>450</v>
      </c>
      <c r="I467" s="9">
        <v>101</v>
      </c>
      <c r="J467" s="9" t="s">
        <v>803</v>
      </c>
      <c r="K467" s="9">
        <v>2024</v>
      </c>
      <c r="L467" s="13" t="s">
        <v>776</v>
      </c>
      <c r="M467" s="11">
        <v>564480</v>
      </c>
      <c r="N467" s="9" t="s">
        <v>802</v>
      </c>
      <c r="O467" s="9"/>
      <c r="P467" s="10">
        <v>46178</v>
      </c>
      <c r="Q467" t="s">
        <v>624</v>
      </c>
      <c r="S467" s="9"/>
      <c r="T467" s="9"/>
    </row>
    <row r="468" spans="1:20" ht="15">
      <c r="A468">
        <v>8</v>
      </c>
      <c r="B468" t="s">
        <v>449</v>
      </c>
      <c r="C468" t="s">
        <v>17</v>
      </c>
      <c r="D468" s="9" t="s">
        <v>151</v>
      </c>
      <c r="E468" s="9" t="s">
        <v>57</v>
      </c>
      <c r="F468">
        <v>1.5</v>
      </c>
      <c r="G468" s="9" t="s">
        <v>30</v>
      </c>
      <c r="H468" t="s">
        <v>450</v>
      </c>
      <c r="I468" s="9">
        <v>101</v>
      </c>
      <c r="J468" s="9" t="s">
        <v>804</v>
      </c>
      <c r="K468" s="9">
        <v>2024</v>
      </c>
      <c r="L468" s="13" t="s">
        <v>777</v>
      </c>
      <c r="M468" s="11">
        <v>1.5</v>
      </c>
      <c r="N468" s="14">
        <v>1.4999999999999999E-2</v>
      </c>
      <c r="O468" s="9"/>
      <c r="P468" s="10">
        <v>46178</v>
      </c>
      <c r="Q468" t="s">
        <v>624</v>
      </c>
      <c r="S468" s="9"/>
      <c r="T468" s="9"/>
    </row>
    <row r="469" spans="1:20" ht="15">
      <c r="A469">
        <v>8</v>
      </c>
      <c r="B469" t="s">
        <v>449</v>
      </c>
      <c r="C469" t="s">
        <v>17</v>
      </c>
      <c r="D469" s="9" t="s">
        <v>738</v>
      </c>
      <c r="E469" s="9" t="s">
        <v>57</v>
      </c>
      <c r="F469">
        <v>2430.4</v>
      </c>
      <c r="G469" s="9" t="s">
        <v>248</v>
      </c>
      <c r="H469" t="s">
        <v>450</v>
      </c>
      <c r="I469" s="9">
        <v>101</v>
      </c>
      <c r="J469" s="9" t="s">
        <v>806</v>
      </c>
      <c r="K469" s="9">
        <v>2024</v>
      </c>
      <c r="L469" s="13" t="s">
        <v>821</v>
      </c>
      <c r="M469" s="11">
        <v>17498880</v>
      </c>
      <c r="N469" s="9" t="s">
        <v>805</v>
      </c>
      <c r="O469" s="9"/>
      <c r="P469" s="10">
        <v>46178</v>
      </c>
      <c r="Q469" t="s">
        <v>624</v>
      </c>
      <c r="S469" s="9"/>
      <c r="T469" s="9"/>
    </row>
    <row r="470" spans="1:20" ht="15">
      <c r="A470">
        <v>8</v>
      </c>
      <c r="B470" t="s">
        <v>449</v>
      </c>
      <c r="C470" t="s">
        <v>17</v>
      </c>
      <c r="D470" s="9" t="s">
        <v>781</v>
      </c>
      <c r="E470" s="9" t="s">
        <v>57</v>
      </c>
      <c r="F470">
        <v>46.9</v>
      </c>
      <c r="G470" s="9" t="s">
        <v>30</v>
      </c>
      <c r="H470" t="s">
        <v>450</v>
      </c>
      <c r="I470" s="9">
        <v>101</v>
      </c>
      <c r="J470" s="9" t="s">
        <v>807</v>
      </c>
      <c r="K470" s="9">
        <v>2024</v>
      </c>
      <c r="L470" s="13" t="s">
        <v>822</v>
      </c>
      <c r="M470" s="11">
        <v>46.9</v>
      </c>
      <c r="N470" s="14">
        <v>0.46899999999999997</v>
      </c>
      <c r="O470" s="9"/>
      <c r="P470" s="10">
        <v>46178</v>
      </c>
      <c r="Q470" t="s">
        <v>624</v>
      </c>
      <c r="S470" s="9"/>
      <c r="T470" s="9"/>
    </row>
    <row r="471" spans="1:20">
      <c r="A471">
        <v>8</v>
      </c>
      <c r="B471" t="s">
        <v>449</v>
      </c>
      <c r="C471" t="s">
        <v>17</v>
      </c>
      <c r="D471" s="9" t="s">
        <v>107</v>
      </c>
      <c r="E471" s="9" t="s">
        <v>51</v>
      </c>
      <c r="F471">
        <v>3784.3</v>
      </c>
      <c r="G471" s="9" t="s">
        <v>248</v>
      </c>
      <c r="H471" t="s">
        <v>450</v>
      </c>
      <c r="I471" s="9">
        <v>101</v>
      </c>
      <c r="J471" s="9" t="s">
        <v>809</v>
      </c>
      <c r="K471" s="9">
        <v>2025</v>
      </c>
      <c r="L471" t="s">
        <v>27</v>
      </c>
      <c r="M471" s="11">
        <v>27246960</v>
      </c>
      <c r="N471" s="9" t="s">
        <v>808</v>
      </c>
      <c r="O471" s="9"/>
      <c r="P471" s="10">
        <v>46178</v>
      </c>
      <c r="Q471" t="s">
        <v>624</v>
      </c>
      <c r="S471" s="9"/>
      <c r="T471" s="9"/>
    </row>
    <row r="472" spans="1:20">
      <c r="A472">
        <v>8</v>
      </c>
      <c r="B472" t="s">
        <v>449</v>
      </c>
      <c r="C472" t="s">
        <v>17</v>
      </c>
      <c r="D472" s="9" t="s">
        <v>111</v>
      </c>
      <c r="E472" s="9" t="s">
        <v>51</v>
      </c>
      <c r="F472">
        <v>701.8</v>
      </c>
      <c r="G472" s="9" t="s">
        <v>248</v>
      </c>
      <c r="H472" t="s">
        <v>450</v>
      </c>
      <c r="I472" s="9">
        <v>101</v>
      </c>
      <c r="J472" s="9" t="s">
        <v>811</v>
      </c>
      <c r="K472" s="9">
        <v>2025</v>
      </c>
      <c r="L472" t="s">
        <v>35</v>
      </c>
      <c r="M472" s="11">
        <v>5052960</v>
      </c>
      <c r="N472" s="9" t="s">
        <v>810</v>
      </c>
      <c r="O472" s="9"/>
      <c r="P472" s="10">
        <v>46178</v>
      </c>
      <c r="Q472" t="s">
        <v>624</v>
      </c>
      <c r="S472" s="9"/>
      <c r="T472" s="9"/>
    </row>
    <row r="473" spans="1:20" ht="15">
      <c r="A473">
        <v>8</v>
      </c>
      <c r="B473" t="s">
        <v>449</v>
      </c>
      <c r="C473" t="s">
        <v>17</v>
      </c>
      <c r="D473" s="9" t="s">
        <v>113</v>
      </c>
      <c r="E473" s="9" t="s">
        <v>51</v>
      </c>
      <c r="F473">
        <v>10.7</v>
      </c>
      <c r="G473" s="9" t="s">
        <v>30</v>
      </c>
      <c r="H473" t="s">
        <v>450</v>
      </c>
      <c r="I473" s="9">
        <v>101</v>
      </c>
      <c r="J473" s="9" t="s">
        <v>812</v>
      </c>
      <c r="K473" s="9">
        <v>2025</v>
      </c>
      <c r="L473" s="13" t="s">
        <v>820</v>
      </c>
      <c r="M473" s="11">
        <v>10.7</v>
      </c>
      <c r="N473" s="14">
        <v>0.107</v>
      </c>
      <c r="O473" s="9"/>
      <c r="P473" s="10">
        <v>46178</v>
      </c>
      <c r="Q473" t="s">
        <v>624</v>
      </c>
      <c r="S473" s="9"/>
      <c r="T473" s="9"/>
    </row>
    <row r="474" spans="1:20" ht="15">
      <c r="A474">
        <v>8</v>
      </c>
      <c r="B474" t="s">
        <v>449</v>
      </c>
      <c r="C474" t="s">
        <v>17</v>
      </c>
      <c r="D474" s="9" t="s">
        <v>149</v>
      </c>
      <c r="E474" s="9" t="s">
        <v>51</v>
      </c>
      <c r="F474">
        <v>440.4</v>
      </c>
      <c r="G474" s="9" t="s">
        <v>248</v>
      </c>
      <c r="H474" t="s">
        <v>450</v>
      </c>
      <c r="I474" s="9">
        <v>101</v>
      </c>
      <c r="J474" s="9" t="s">
        <v>814</v>
      </c>
      <c r="K474" s="9">
        <v>2025</v>
      </c>
      <c r="L474" s="13" t="s">
        <v>776</v>
      </c>
      <c r="M474" s="11">
        <v>3170880</v>
      </c>
      <c r="N474" s="9" t="s">
        <v>813</v>
      </c>
      <c r="O474" s="9"/>
      <c r="P474" s="10">
        <v>46178</v>
      </c>
      <c r="Q474" t="s">
        <v>624</v>
      </c>
      <c r="S474" s="9"/>
      <c r="T474" s="9"/>
    </row>
    <row r="475" spans="1:20" ht="15">
      <c r="A475">
        <v>8</v>
      </c>
      <c r="B475" t="s">
        <v>449</v>
      </c>
      <c r="C475" t="s">
        <v>17</v>
      </c>
      <c r="D475" s="9" t="s">
        <v>151</v>
      </c>
      <c r="E475" s="9" t="s">
        <v>51</v>
      </c>
      <c r="F475">
        <v>6.7</v>
      </c>
      <c r="G475" s="9" t="s">
        <v>30</v>
      </c>
      <c r="H475" t="s">
        <v>450</v>
      </c>
      <c r="I475" s="9">
        <v>101</v>
      </c>
      <c r="J475" s="9" t="s">
        <v>815</v>
      </c>
      <c r="K475" s="9">
        <v>2025</v>
      </c>
      <c r="L475" s="13" t="s">
        <v>777</v>
      </c>
      <c r="M475" s="11">
        <v>6.7</v>
      </c>
      <c r="N475" s="14">
        <v>6.7000000000000004E-2</v>
      </c>
      <c r="O475" s="9"/>
      <c r="P475" s="10">
        <v>46178</v>
      </c>
      <c r="Q475" t="s">
        <v>624</v>
      </c>
      <c r="S475" s="9"/>
      <c r="T475" s="9"/>
    </row>
    <row r="476" spans="1:20" ht="15">
      <c r="A476">
        <v>8</v>
      </c>
      <c r="B476" t="s">
        <v>449</v>
      </c>
      <c r="C476" t="s">
        <v>17</v>
      </c>
      <c r="D476" s="9" t="s">
        <v>738</v>
      </c>
      <c r="E476" s="9" t="s">
        <v>51</v>
      </c>
      <c r="F476">
        <v>3104.6</v>
      </c>
      <c r="G476" s="9" t="s">
        <v>248</v>
      </c>
      <c r="H476" t="s">
        <v>450</v>
      </c>
      <c r="I476" s="9">
        <v>101</v>
      </c>
      <c r="J476" s="9" t="s">
        <v>817</v>
      </c>
      <c r="K476" s="9">
        <v>2025</v>
      </c>
      <c r="L476" s="13" t="s">
        <v>821</v>
      </c>
      <c r="M476" s="11">
        <v>22353120</v>
      </c>
      <c r="N476" s="9" t="s">
        <v>816</v>
      </c>
      <c r="O476" s="9"/>
      <c r="P476" s="10">
        <v>46178</v>
      </c>
      <c r="Q476" t="s">
        <v>624</v>
      </c>
      <c r="S476" s="9"/>
      <c r="T476" s="9"/>
    </row>
    <row r="477" spans="1:20" ht="15">
      <c r="A477">
        <v>8</v>
      </c>
      <c r="B477" t="s">
        <v>449</v>
      </c>
      <c r="C477" t="s">
        <v>17</v>
      </c>
      <c r="D477" s="9" t="s">
        <v>781</v>
      </c>
      <c r="E477" s="9" t="s">
        <v>51</v>
      </c>
      <c r="F477">
        <v>47.3</v>
      </c>
      <c r="G477" s="9" t="s">
        <v>30</v>
      </c>
      <c r="H477" t="s">
        <v>450</v>
      </c>
      <c r="I477" s="9">
        <v>101</v>
      </c>
      <c r="J477" s="9" t="s">
        <v>818</v>
      </c>
      <c r="K477" s="9">
        <v>2025</v>
      </c>
      <c r="L477" s="13" t="s">
        <v>822</v>
      </c>
      <c r="M477" s="11">
        <v>47.3</v>
      </c>
      <c r="N477" s="14">
        <v>0.47299999999999998</v>
      </c>
      <c r="O477" s="9"/>
      <c r="P477" s="10">
        <v>46178</v>
      </c>
      <c r="Q477" t="s">
        <v>624</v>
      </c>
      <c r="S477" s="9"/>
      <c r="T477" s="9"/>
    </row>
    <row r="478" spans="1:20" ht="15">
      <c r="A478" s="9">
        <v>1</v>
      </c>
      <c r="B478" t="s">
        <v>910</v>
      </c>
      <c r="C478" t="s">
        <v>17</v>
      </c>
      <c r="D478" s="9" t="s">
        <v>583</v>
      </c>
      <c r="E478" s="9" t="s">
        <v>841</v>
      </c>
      <c r="F478" s="11">
        <v>11102600</v>
      </c>
      <c r="G478" s="9" t="s">
        <v>130</v>
      </c>
      <c r="H478" s="9" t="s">
        <v>823</v>
      </c>
      <c r="I478" s="9"/>
      <c r="J478" s="9"/>
      <c r="K478" s="9">
        <v>2025</v>
      </c>
      <c r="L478" s="13" t="s">
        <v>774</v>
      </c>
      <c r="M478" s="11">
        <v>79938720</v>
      </c>
      <c r="N478" s="9" t="s">
        <v>824</v>
      </c>
      <c r="O478" s="9"/>
      <c r="P478" s="10">
        <v>46178</v>
      </c>
      <c r="Q478" s="9" t="s">
        <v>624</v>
      </c>
      <c r="R478" s="9"/>
      <c r="S478" s="9"/>
      <c r="T478" s="9"/>
    </row>
    <row r="479" spans="1:20">
      <c r="A479" s="9">
        <v>1</v>
      </c>
      <c r="B479" t="s">
        <v>910</v>
      </c>
      <c r="C479" t="s">
        <v>17</v>
      </c>
      <c r="D479" s="9" t="s">
        <v>107</v>
      </c>
      <c r="E479" s="9" t="s">
        <v>841</v>
      </c>
      <c r="F479" s="9">
        <v>6284132</v>
      </c>
      <c r="G479" s="9" t="s">
        <v>130</v>
      </c>
      <c r="H479" s="9" t="s">
        <v>823</v>
      </c>
      <c r="I479" s="9"/>
      <c r="J479" s="9"/>
      <c r="K479" s="9">
        <v>2025</v>
      </c>
      <c r="L479" t="s">
        <v>27</v>
      </c>
      <c r="M479" s="9">
        <v>45245750.399999999</v>
      </c>
      <c r="N479" s="9" t="s">
        <v>825</v>
      </c>
      <c r="O479" s="9"/>
      <c r="P479" s="10">
        <v>46178</v>
      </c>
      <c r="Q479" s="9" t="s">
        <v>624</v>
      </c>
      <c r="R479" s="9"/>
      <c r="S479" s="9"/>
      <c r="T479" s="9"/>
    </row>
    <row r="480" spans="1:20" ht="15">
      <c r="A480" s="9">
        <v>1</v>
      </c>
      <c r="B480" t="s">
        <v>910</v>
      </c>
      <c r="C480" t="s">
        <v>17</v>
      </c>
      <c r="D480" s="9" t="s">
        <v>109</v>
      </c>
      <c r="E480" s="9" t="s">
        <v>841</v>
      </c>
      <c r="F480" s="9">
        <v>56.6</v>
      </c>
      <c r="G480" s="9" t="s">
        <v>30</v>
      </c>
      <c r="H480" s="9" t="s">
        <v>823</v>
      </c>
      <c r="I480" s="9"/>
      <c r="J480" s="9"/>
      <c r="K480" s="9">
        <v>2025</v>
      </c>
      <c r="L480" s="13" t="s">
        <v>775</v>
      </c>
      <c r="M480" s="9">
        <v>56.6</v>
      </c>
      <c r="N480" s="9" t="s">
        <v>32</v>
      </c>
      <c r="O480" s="9"/>
      <c r="P480" s="10">
        <v>46178</v>
      </c>
      <c r="Q480" s="9" t="s">
        <v>624</v>
      </c>
      <c r="R480" s="9"/>
      <c r="S480" s="9"/>
      <c r="T480" s="9"/>
    </row>
    <row r="481" spans="1:20" ht="15">
      <c r="A481" s="9">
        <v>1</v>
      </c>
      <c r="B481" t="s">
        <v>910</v>
      </c>
      <c r="C481" t="s">
        <v>17</v>
      </c>
      <c r="D481" s="9" t="s">
        <v>738</v>
      </c>
      <c r="E481" s="9" t="s">
        <v>841</v>
      </c>
      <c r="F481" s="9">
        <v>4066556</v>
      </c>
      <c r="G481" s="9" t="s">
        <v>130</v>
      </c>
      <c r="H481" s="9" t="s">
        <v>823</v>
      </c>
      <c r="I481" s="9"/>
      <c r="J481" s="9"/>
      <c r="K481" s="9">
        <v>2025</v>
      </c>
      <c r="L481" s="13" t="s">
        <v>821</v>
      </c>
      <c r="M481" s="9">
        <v>29279203.199999999</v>
      </c>
      <c r="N481" s="9" t="s">
        <v>826</v>
      </c>
      <c r="O481" s="9"/>
      <c r="P481" s="10">
        <v>46178</v>
      </c>
      <c r="Q481" s="9" t="s">
        <v>624</v>
      </c>
      <c r="R481" s="9"/>
      <c r="S481" s="9"/>
      <c r="T481" s="9"/>
    </row>
    <row r="482" spans="1:20" ht="15">
      <c r="A482" s="9">
        <v>1</v>
      </c>
      <c r="B482" t="s">
        <v>910</v>
      </c>
      <c r="C482" t="s">
        <v>17</v>
      </c>
      <c r="D482" s="9" t="s">
        <v>781</v>
      </c>
      <c r="E482" s="9" t="s">
        <v>841</v>
      </c>
      <c r="F482" s="9">
        <v>36.6</v>
      </c>
      <c r="G482" s="9" t="s">
        <v>30</v>
      </c>
      <c r="H482" s="9" t="s">
        <v>823</v>
      </c>
      <c r="I482" s="9"/>
      <c r="J482" s="9"/>
      <c r="K482" s="9">
        <v>2025</v>
      </c>
      <c r="L482" s="13" t="s">
        <v>822</v>
      </c>
      <c r="M482" s="9">
        <v>36.6</v>
      </c>
      <c r="N482" s="9" t="s">
        <v>32</v>
      </c>
      <c r="O482" s="9"/>
      <c r="P482" s="10">
        <v>46178</v>
      </c>
      <c r="Q482" s="9" t="s">
        <v>624</v>
      </c>
      <c r="R482" s="9"/>
      <c r="S482" s="9"/>
      <c r="T482" s="9"/>
    </row>
    <row r="483" spans="1:20">
      <c r="A483" s="9">
        <v>1</v>
      </c>
      <c r="B483" t="s">
        <v>910</v>
      </c>
      <c r="C483" t="s">
        <v>17</v>
      </c>
      <c r="D483" s="9" t="s">
        <v>148</v>
      </c>
      <c r="E483" s="9" t="s">
        <v>841</v>
      </c>
      <c r="F483" s="9">
        <v>2210615</v>
      </c>
      <c r="G483" s="9" t="s">
        <v>130</v>
      </c>
      <c r="H483" s="9" t="s">
        <v>823</v>
      </c>
      <c r="I483" s="9"/>
      <c r="J483" s="9"/>
      <c r="K483" s="9">
        <v>2025</v>
      </c>
      <c r="L483" t="s">
        <v>35</v>
      </c>
      <c r="M483" s="9">
        <v>15916428</v>
      </c>
      <c r="N483" s="9" t="s">
        <v>827</v>
      </c>
      <c r="O483" s="9"/>
      <c r="P483" s="10">
        <v>46178</v>
      </c>
      <c r="Q483" s="9" t="s">
        <v>624</v>
      </c>
      <c r="R483" s="9"/>
      <c r="S483" s="9"/>
      <c r="T483" s="9"/>
    </row>
    <row r="484" spans="1:20" ht="15">
      <c r="A484" s="9">
        <v>1</v>
      </c>
      <c r="B484" t="s">
        <v>910</v>
      </c>
      <c r="C484" t="s">
        <v>17</v>
      </c>
      <c r="D484" s="9" t="s">
        <v>113</v>
      </c>
      <c r="E484" s="9" t="s">
        <v>841</v>
      </c>
      <c r="F484" s="9">
        <v>19.899999999999999</v>
      </c>
      <c r="G484" s="9" t="s">
        <v>30</v>
      </c>
      <c r="H484" s="9" t="s">
        <v>823</v>
      </c>
      <c r="I484" s="9"/>
      <c r="J484" s="9"/>
      <c r="K484" s="9">
        <v>2025</v>
      </c>
      <c r="L484" s="13" t="s">
        <v>820</v>
      </c>
      <c r="M484" s="9">
        <v>19.899999999999999</v>
      </c>
      <c r="N484" s="9" t="s">
        <v>32</v>
      </c>
      <c r="O484" s="9"/>
      <c r="P484" s="10">
        <v>46178</v>
      </c>
      <c r="Q484" s="9" t="s">
        <v>624</v>
      </c>
      <c r="R484" s="9"/>
      <c r="S484" s="9"/>
      <c r="T484" s="9"/>
    </row>
    <row r="485" spans="1:20" ht="15">
      <c r="A485" s="9">
        <v>1</v>
      </c>
      <c r="B485" t="s">
        <v>910</v>
      </c>
      <c r="C485" t="s">
        <v>17</v>
      </c>
      <c r="D485" s="9" t="s">
        <v>149</v>
      </c>
      <c r="E485" s="9" t="s">
        <v>841</v>
      </c>
      <c r="F485" s="9">
        <v>1579183</v>
      </c>
      <c r="G485" s="9" t="s">
        <v>130</v>
      </c>
      <c r="H485" s="9" t="s">
        <v>823</v>
      </c>
      <c r="I485" s="9"/>
      <c r="J485" s="9"/>
      <c r="K485" s="9">
        <v>2025</v>
      </c>
      <c r="L485" s="13" t="s">
        <v>776</v>
      </c>
      <c r="M485" s="9">
        <v>11370117.6</v>
      </c>
      <c r="N485" s="9" t="s">
        <v>828</v>
      </c>
      <c r="O485" s="9"/>
      <c r="P485" s="10">
        <v>46178</v>
      </c>
      <c r="Q485" s="9" t="s">
        <v>624</v>
      </c>
      <c r="R485" s="9"/>
      <c r="S485" s="9"/>
      <c r="T485" s="9"/>
    </row>
    <row r="486" spans="1:20" ht="15">
      <c r="A486" s="9">
        <v>1</v>
      </c>
      <c r="B486" t="s">
        <v>910</v>
      </c>
      <c r="C486" t="s">
        <v>17</v>
      </c>
      <c r="D486" s="9" t="s">
        <v>151</v>
      </c>
      <c r="E486" s="9" t="s">
        <v>841</v>
      </c>
      <c r="F486" s="9">
        <v>14.2</v>
      </c>
      <c r="G486" s="9" t="s">
        <v>30</v>
      </c>
      <c r="H486" s="9" t="s">
        <v>823</v>
      </c>
      <c r="I486" s="9"/>
      <c r="J486" s="9"/>
      <c r="K486" s="9">
        <v>2025</v>
      </c>
      <c r="L486" s="13" t="s">
        <v>777</v>
      </c>
      <c r="M486" s="9">
        <v>14.2</v>
      </c>
      <c r="N486" s="9" t="s">
        <v>32</v>
      </c>
      <c r="O486" s="9"/>
      <c r="P486" s="10">
        <v>46178</v>
      </c>
      <c r="Q486" s="9" t="s">
        <v>624</v>
      </c>
      <c r="R486" s="9"/>
      <c r="S486" s="9"/>
      <c r="T486" s="9"/>
    </row>
    <row r="487" spans="1:20" ht="15">
      <c r="A487" s="9">
        <v>1</v>
      </c>
      <c r="B487" t="s">
        <v>910</v>
      </c>
      <c r="C487" t="s">
        <v>17</v>
      </c>
      <c r="D487" s="9" t="s">
        <v>583</v>
      </c>
      <c r="E487" s="9" t="s">
        <v>842</v>
      </c>
      <c r="F487" s="11">
        <v>10588126</v>
      </c>
      <c r="G487" s="9" t="s">
        <v>130</v>
      </c>
      <c r="H487" s="9" t="s">
        <v>823</v>
      </c>
      <c r="I487" s="9"/>
      <c r="J487" s="9"/>
      <c r="K487" s="9">
        <v>2024</v>
      </c>
      <c r="L487" s="13" t="s">
        <v>774</v>
      </c>
      <c r="M487" s="11">
        <v>76234507.200000003</v>
      </c>
      <c r="N487" s="9" t="s">
        <v>829</v>
      </c>
      <c r="O487" s="9"/>
      <c r="P487" s="10">
        <v>46178</v>
      </c>
      <c r="Q487" s="9" t="s">
        <v>624</v>
      </c>
      <c r="R487" s="9"/>
      <c r="S487" s="9"/>
      <c r="T487" s="9"/>
    </row>
    <row r="488" spans="1:20">
      <c r="A488" s="9">
        <v>1</v>
      </c>
      <c r="B488" t="s">
        <v>910</v>
      </c>
      <c r="C488" t="s">
        <v>17</v>
      </c>
      <c r="D488" s="9" t="s">
        <v>107</v>
      </c>
      <c r="E488" s="9" t="s">
        <v>842</v>
      </c>
      <c r="F488" s="9">
        <v>6270811</v>
      </c>
      <c r="G488" s="9" t="s">
        <v>130</v>
      </c>
      <c r="H488" s="9" t="s">
        <v>823</v>
      </c>
      <c r="I488" s="9"/>
      <c r="J488" s="9"/>
      <c r="K488" s="9">
        <v>2024</v>
      </c>
      <c r="L488" t="s">
        <v>27</v>
      </c>
      <c r="M488" s="9">
        <v>45149839.200000003</v>
      </c>
      <c r="N488" s="9" t="s">
        <v>830</v>
      </c>
      <c r="O488" s="9"/>
      <c r="P488" s="10">
        <v>46178</v>
      </c>
      <c r="Q488" s="9" t="s">
        <v>624</v>
      </c>
      <c r="R488" s="9"/>
      <c r="S488" s="9"/>
      <c r="T488" s="9"/>
    </row>
    <row r="489" spans="1:20" ht="15">
      <c r="A489" s="9">
        <v>1</v>
      </c>
      <c r="B489" t="s">
        <v>910</v>
      </c>
      <c r="C489" t="s">
        <v>17</v>
      </c>
      <c r="D489" s="9" t="s">
        <v>109</v>
      </c>
      <c r="E489" s="9" t="s">
        <v>842</v>
      </c>
      <c r="F489" s="9">
        <v>59.2</v>
      </c>
      <c r="G489" s="9" t="s">
        <v>30</v>
      </c>
      <c r="H489" s="9" t="s">
        <v>823</v>
      </c>
      <c r="I489" s="9"/>
      <c r="J489" s="9"/>
      <c r="K489" s="9">
        <v>2024</v>
      </c>
      <c r="L489" s="13" t="s">
        <v>775</v>
      </c>
      <c r="M489" s="9">
        <v>59.2</v>
      </c>
      <c r="N489" s="9" t="s">
        <v>32</v>
      </c>
      <c r="O489" s="9"/>
      <c r="P489" s="10">
        <v>46178</v>
      </c>
      <c r="Q489" s="9" t="s">
        <v>624</v>
      </c>
      <c r="R489" s="9"/>
      <c r="S489" s="9"/>
      <c r="T489" s="9"/>
    </row>
    <row r="490" spans="1:20" ht="15">
      <c r="A490" s="9">
        <v>1</v>
      </c>
      <c r="B490" t="s">
        <v>910</v>
      </c>
      <c r="C490" t="s">
        <v>17</v>
      </c>
      <c r="D490" s="9" t="s">
        <v>738</v>
      </c>
      <c r="E490" s="9" t="s">
        <v>842</v>
      </c>
      <c r="F490" s="9">
        <v>3762379</v>
      </c>
      <c r="G490" s="9" t="s">
        <v>130</v>
      </c>
      <c r="H490" s="9" t="s">
        <v>823</v>
      </c>
      <c r="I490" s="9"/>
      <c r="J490" s="9"/>
      <c r="K490" s="9">
        <v>2024</v>
      </c>
      <c r="L490" s="13" t="s">
        <v>821</v>
      </c>
      <c r="M490" s="9">
        <v>27089128.800000001</v>
      </c>
      <c r="N490" s="9" t="s">
        <v>831</v>
      </c>
      <c r="O490" s="9"/>
      <c r="P490" s="10">
        <v>46178</v>
      </c>
      <c r="Q490" s="9" t="s">
        <v>624</v>
      </c>
      <c r="R490" s="9"/>
      <c r="S490" s="9"/>
      <c r="T490" s="9"/>
    </row>
    <row r="491" spans="1:20" ht="15">
      <c r="A491" s="9">
        <v>1</v>
      </c>
      <c r="B491" t="s">
        <v>910</v>
      </c>
      <c r="C491" t="s">
        <v>17</v>
      </c>
      <c r="D491" s="9" t="s">
        <v>781</v>
      </c>
      <c r="E491" s="9" t="s">
        <v>842</v>
      </c>
      <c r="F491" s="9">
        <v>35.5</v>
      </c>
      <c r="G491" s="9" t="s">
        <v>30</v>
      </c>
      <c r="H491" s="9" t="s">
        <v>823</v>
      </c>
      <c r="I491" s="9"/>
      <c r="J491" s="9"/>
      <c r="K491" s="9">
        <v>2024</v>
      </c>
      <c r="L491" s="13" t="s">
        <v>822</v>
      </c>
      <c r="M491" s="9">
        <v>35.5</v>
      </c>
      <c r="N491" s="9" t="s">
        <v>32</v>
      </c>
      <c r="O491" s="9"/>
      <c r="P491" s="10">
        <v>46178</v>
      </c>
      <c r="Q491" s="9" t="s">
        <v>624</v>
      </c>
      <c r="R491" s="9"/>
      <c r="S491" s="9"/>
      <c r="T491" s="9"/>
    </row>
    <row r="492" spans="1:20">
      <c r="A492" s="9">
        <v>1</v>
      </c>
      <c r="B492" t="s">
        <v>910</v>
      </c>
      <c r="C492" t="s">
        <v>17</v>
      </c>
      <c r="D492" s="9" t="s">
        <v>148</v>
      </c>
      <c r="E492" s="9" t="s">
        <v>842</v>
      </c>
      <c r="F492" s="9">
        <v>2505697</v>
      </c>
      <c r="G492" s="9" t="s">
        <v>130</v>
      </c>
      <c r="H492" s="9" t="s">
        <v>823</v>
      </c>
      <c r="I492" s="9"/>
      <c r="J492" s="9"/>
      <c r="K492" s="9">
        <v>2024</v>
      </c>
      <c r="L492" t="s">
        <v>35</v>
      </c>
      <c r="M492" s="9">
        <v>18041018.399999999</v>
      </c>
      <c r="N492" s="9" t="s">
        <v>832</v>
      </c>
      <c r="O492" s="9"/>
      <c r="P492" s="10">
        <v>46178</v>
      </c>
      <c r="Q492" s="9" t="s">
        <v>624</v>
      </c>
      <c r="R492" s="9"/>
      <c r="S492" s="9"/>
      <c r="T492" s="9"/>
    </row>
    <row r="493" spans="1:20" ht="15">
      <c r="A493" s="9">
        <v>1</v>
      </c>
      <c r="B493" t="s">
        <v>910</v>
      </c>
      <c r="C493" t="s">
        <v>17</v>
      </c>
      <c r="D493" s="9" t="s">
        <v>113</v>
      </c>
      <c r="E493" s="9" t="s">
        <v>842</v>
      </c>
      <c r="F493" s="9">
        <v>23.7</v>
      </c>
      <c r="G493" s="9" t="s">
        <v>30</v>
      </c>
      <c r="H493" s="9" t="s">
        <v>823</v>
      </c>
      <c r="I493" s="9"/>
      <c r="J493" s="9"/>
      <c r="K493" s="9">
        <v>2024</v>
      </c>
      <c r="L493" s="13" t="s">
        <v>820</v>
      </c>
      <c r="M493" s="9">
        <v>23.7</v>
      </c>
      <c r="N493" s="9" t="s">
        <v>32</v>
      </c>
      <c r="O493" s="9"/>
      <c r="P493" s="10">
        <v>46178</v>
      </c>
      <c r="Q493" s="9" t="s">
        <v>624</v>
      </c>
      <c r="R493" s="9"/>
      <c r="S493" s="9"/>
      <c r="T493" s="9"/>
    </row>
    <row r="494" spans="1:20" ht="15">
      <c r="A494" s="9">
        <v>1</v>
      </c>
      <c r="B494" t="s">
        <v>910</v>
      </c>
      <c r="C494" t="s">
        <v>17</v>
      </c>
      <c r="D494" s="9" t="s">
        <v>149</v>
      </c>
      <c r="E494" s="9" t="s">
        <v>842</v>
      </c>
      <c r="F494" s="9">
        <v>1814616</v>
      </c>
      <c r="G494" s="9" t="s">
        <v>130</v>
      </c>
      <c r="H494" s="9" t="s">
        <v>823</v>
      </c>
      <c r="I494" s="9"/>
      <c r="J494" s="9"/>
      <c r="K494" s="9">
        <v>2024</v>
      </c>
      <c r="L494" s="13" t="s">
        <v>776</v>
      </c>
      <c r="M494" s="9">
        <v>13065235.199999999</v>
      </c>
      <c r="N494" s="9" t="s">
        <v>833</v>
      </c>
      <c r="O494" s="9"/>
      <c r="P494" s="10">
        <v>46178</v>
      </c>
      <c r="Q494" s="9" t="s">
        <v>624</v>
      </c>
      <c r="R494" s="9"/>
      <c r="S494" s="9"/>
      <c r="T494" s="9"/>
    </row>
    <row r="495" spans="1:20" ht="15">
      <c r="A495" s="9">
        <v>1</v>
      </c>
      <c r="B495" t="s">
        <v>910</v>
      </c>
      <c r="C495" t="s">
        <v>17</v>
      </c>
      <c r="D495" s="9" t="s">
        <v>151</v>
      </c>
      <c r="E495" s="9" t="s">
        <v>842</v>
      </c>
      <c r="F495" s="9">
        <v>17.100000000000001</v>
      </c>
      <c r="G495" s="9" t="s">
        <v>30</v>
      </c>
      <c r="H495" s="9" t="s">
        <v>823</v>
      </c>
      <c r="I495" s="9"/>
      <c r="J495" s="9"/>
      <c r="K495" s="9">
        <v>2024</v>
      </c>
      <c r="L495" s="13" t="s">
        <v>777</v>
      </c>
      <c r="M495" s="9">
        <v>17.100000000000001</v>
      </c>
      <c r="N495" s="9" t="s">
        <v>32</v>
      </c>
      <c r="O495" s="9"/>
      <c r="P495" s="10">
        <v>46178</v>
      </c>
      <c r="Q495" s="9" t="s">
        <v>624</v>
      </c>
      <c r="R495" s="9"/>
      <c r="S495" s="9"/>
      <c r="T495" s="9"/>
    </row>
    <row r="496" spans="1:20" ht="15">
      <c r="A496" s="9">
        <v>1</v>
      </c>
      <c r="B496" t="s">
        <v>910</v>
      </c>
      <c r="C496" t="s">
        <v>17</v>
      </c>
      <c r="D496" s="9" t="s">
        <v>583</v>
      </c>
      <c r="E496" s="9" t="s">
        <v>843</v>
      </c>
      <c r="F496" s="11">
        <v>9619278</v>
      </c>
      <c r="G496" s="9" t="s">
        <v>130</v>
      </c>
      <c r="H496" s="9" t="s">
        <v>823</v>
      </c>
      <c r="I496" s="9"/>
      <c r="J496" s="9"/>
      <c r="K496" s="9">
        <v>2023</v>
      </c>
      <c r="L496" s="13" t="s">
        <v>774</v>
      </c>
      <c r="M496" s="11">
        <v>69258801.599999994</v>
      </c>
      <c r="N496" s="9" t="s">
        <v>834</v>
      </c>
      <c r="O496" s="9"/>
      <c r="P496" s="10">
        <v>46178</v>
      </c>
      <c r="Q496" s="9" t="s">
        <v>624</v>
      </c>
      <c r="R496" s="9"/>
      <c r="S496" s="9"/>
      <c r="T496" s="9"/>
    </row>
    <row r="497" spans="1:20">
      <c r="A497" s="9">
        <v>1</v>
      </c>
      <c r="B497" t="s">
        <v>910</v>
      </c>
      <c r="C497" t="s">
        <v>17</v>
      </c>
      <c r="D497" s="9" t="s">
        <v>107</v>
      </c>
      <c r="E497" s="9" t="s">
        <v>843</v>
      </c>
      <c r="F497" s="9">
        <v>5609405</v>
      </c>
      <c r="G497" s="9" t="s">
        <v>130</v>
      </c>
      <c r="H497" s="9" t="s">
        <v>823</v>
      </c>
      <c r="I497" s="9"/>
      <c r="J497" s="9"/>
      <c r="K497" s="9">
        <v>2023</v>
      </c>
      <c r="L497" t="s">
        <v>27</v>
      </c>
      <c r="M497" s="9">
        <v>40387716</v>
      </c>
      <c r="N497" s="9" t="s">
        <v>835</v>
      </c>
      <c r="O497" s="9"/>
      <c r="P497" s="10">
        <v>46178</v>
      </c>
      <c r="Q497" s="9" t="s">
        <v>624</v>
      </c>
      <c r="R497" s="9"/>
      <c r="S497" s="9"/>
      <c r="T497" s="9"/>
    </row>
    <row r="498" spans="1:20" ht="15">
      <c r="A498" s="9">
        <v>1</v>
      </c>
      <c r="B498" t="s">
        <v>910</v>
      </c>
      <c r="C498" t="s">
        <v>17</v>
      </c>
      <c r="D498" s="9" t="s">
        <v>109</v>
      </c>
      <c r="E498" s="9" t="s">
        <v>843</v>
      </c>
      <c r="F498" s="9">
        <v>58.3</v>
      </c>
      <c r="G498" s="9" t="s">
        <v>30</v>
      </c>
      <c r="H498" s="9" t="s">
        <v>823</v>
      </c>
      <c r="I498" s="9"/>
      <c r="J498" s="9"/>
      <c r="K498" s="9">
        <v>2023</v>
      </c>
      <c r="L498" s="13" t="s">
        <v>775</v>
      </c>
      <c r="M498" s="9">
        <v>58.3</v>
      </c>
      <c r="N498" s="9" t="s">
        <v>32</v>
      </c>
      <c r="O498" s="9"/>
      <c r="P498" s="10">
        <v>46178</v>
      </c>
      <c r="Q498" s="9" t="s">
        <v>624</v>
      </c>
      <c r="R498" s="9"/>
      <c r="S498" s="9"/>
      <c r="T498" s="9"/>
    </row>
    <row r="499" spans="1:20" ht="15">
      <c r="A499" s="9">
        <v>1</v>
      </c>
      <c r="B499" t="s">
        <v>910</v>
      </c>
      <c r="C499" t="s">
        <v>17</v>
      </c>
      <c r="D499" s="9" t="s">
        <v>738</v>
      </c>
      <c r="E499" s="9" t="s">
        <v>843</v>
      </c>
      <c r="F499" s="9">
        <v>3397218</v>
      </c>
      <c r="G499" s="9" t="s">
        <v>130</v>
      </c>
      <c r="H499" s="9" t="s">
        <v>823</v>
      </c>
      <c r="I499" s="9"/>
      <c r="J499" s="9"/>
      <c r="K499" s="9">
        <v>2023</v>
      </c>
      <c r="L499" s="13" t="s">
        <v>821</v>
      </c>
      <c r="M499" s="9">
        <v>24459969.600000001</v>
      </c>
      <c r="N499" s="9" t="s">
        <v>836</v>
      </c>
      <c r="O499" s="9"/>
      <c r="P499" s="10">
        <v>46178</v>
      </c>
      <c r="Q499" s="9" t="s">
        <v>624</v>
      </c>
      <c r="R499" s="9"/>
      <c r="S499" s="9"/>
      <c r="T499" s="9"/>
    </row>
    <row r="500" spans="1:20" ht="15">
      <c r="A500" s="9">
        <v>1</v>
      </c>
      <c r="B500" t="s">
        <v>910</v>
      </c>
      <c r="C500" t="s">
        <v>17</v>
      </c>
      <c r="D500" s="9" t="s">
        <v>781</v>
      </c>
      <c r="E500" s="9" t="s">
        <v>843</v>
      </c>
      <c r="F500" s="9">
        <v>35.299999999999997</v>
      </c>
      <c r="G500" s="9" t="s">
        <v>30</v>
      </c>
      <c r="H500" s="9" t="s">
        <v>823</v>
      </c>
      <c r="I500" s="9"/>
      <c r="J500" s="9"/>
      <c r="K500" s="9">
        <v>2023</v>
      </c>
      <c r="L500" s="13" t="s">
        <v>822</v>
      </c>
      <c r="M500" s="9">
        <v>35.299999999999997</v>
      </c>
      <c r="N500" s="9" t="s">
        <v>32</v>
      </c>
      <c r="O500" s="9"/>
      <c r="P500" s="10">
        <v>46178</v>
      </c>
      <c r="Q500" s="9" t="s">
        <v>624</v>
      </c>
      <c r="R500" s="9"/>
      <c r="S500" s="9"/>
      <c r="T500" s="9"/>
    </row>
    <row r="501" spans="1:20">
      <c r="A501" s="9">
        <v>1</v>
      </c>
      <c r="B501" t="s">
        <v>910</v>
      </c>
      <c r="C501" t="s">
        <v>17</v>
      </c>
      <c r="D501" s="9" t="s">
        <v>148</v>
      </c>
      <c r="E501" s="9" t="s">
        <v>843</v>
      </c>
      <c r="F501" s="9">
        <v>2132676</v>
      </c>
      <c r="G501" s="9" t="s">
        <v>130</v>
      </c>
      <c r="H501" s="9" t="s">
        <v>823</v>
      </c>
      <c r="I501" s="9"/>
      <c r="J501" s="9"/>
      <c r="K501" s="9">
        <v>2023</v>
      </c>
      <c r="L501" t="s">
        <v>35</v>
      </c>
      <c r="M501" s="9">
        <v>15355267.199999999</v>
      </c>
      <c r="N501" s="9" t="s">
        <v>837</v>
      </c>
      <c r="O501" s="9"/>
      <c r="P501" s="10">
        <v>46178</v>
      </c>
      <c r="Q501" s="9" t="s">
        <v>624</v>
      </c>
      <c r="R501" s="9"/>
      <c r="S501" s="9"/>
      <c r="T501" s="9"/>
    </row>
    <row r="502" spans="1:20" ht="15">
      <c r="A502" s="9">
        <v>1</v>
      </c>
      <c r="B502" t="s">
        <v>910</v>
      </c>
      <c r="C502" t="s">
        <v>17</v>
      </c>
      <c r="D502" s="9" t="s">
        <v>113</v>
      </c>
      <c r="E502" s="9" t="s">
        <v>843</v>
      </c>
      <c r="F502" s="9">
        <v>22.2</v>
      </c>
      <c r="G502" s="9" t="s">
        <v>30</v>
      </c>
      <c r="H502" s="9" t="s">
        <v>823</v>
      </c>
      <c r="I502" s="9"/>
      <c r="J502" s="9"/>
      <c r="K502" s="9">
        <v>2023</v>
      </c>
      <c r="L502" s="13" t="s">
        <v>820</v>
      </c>
      <c r="M502" s="9">
        <v>22.2</v>
      </c>
      <c r="N502" s="9" t="s">
        <v>32</v>
      </c>
      <c r="O502" s="9"/>
      <c r="P502" s="10">
        <v>46178</v>
      </c>
      <c r="Q502" s="9" t="s">
        <v>624</v>
      </c>
      <c r="R502" s="9"/>
      <c r="S502" s="9"/>
      <c r="T502" s="9"/>
    </row>
    <row r="503" spans="1:20" ht="15">
      <c r="A503" s="9">
        <v>1</v>
      </c>
      <c r="B503" t="s">
        <v>910</v>
      </c>
      <c r="C503" t="s">
        <v>17</v>
      </c>
      <c r="D503" s="9" t="s">
        <v>149</v>
      </c>
      <c r="E503" s="9" t="s">
        <v>843</v>
      </c>
      <c r="F503" s="9">
        <v>1550190</v>
      </c>
      <c r="G503" s="9" t="s">
        <v>130</v>
      </c>
      <c r="H503" s="9" t="s">
        <v>823</v>
      </c>
      <c r="I503" s="9"/>
      <c r="J503" s="9"/>
      <c r="K503" s="9">
        <v>2023</v>
      </c>
      <c r="L503" s="13" t="s">
        <v>776</v>
      </c>
      <c r="M503" s="9">
        <v>11161368</v>
      </c>
      <c r="N503" s="9" t="s">
        <v>838</v>
      </c>
      <c r="O503" s="9"/>
      <c r="P503" s="10">
        <v>46178</v>
      </c>
      <c r="Q503" s="9" t="s">
        <v>624</v>
      </c>
      <c r="R503" s="9"/>
      <c r="S503" s="9"/>
      <c r="T503" s="9"/>
    </row>
    <row r="504" spans="1:20" ht="15">
      <c r="A504" s="9">
        <v>1</v>
      </c>
      <c r="B504" t="s">
        <v>910</v>
      </c>
      <c r="C504" t="s">
        <v>17</v>
      </c>
      <c r="D504" s="9" t="s">
        <v>151</v>
      </c>
      <c r="E504" s="9" t="s">
        <v>843</v>
      </c>
      <c r="F504" s="9">
        <v>16.100000000000001</v>
      </c>
      <c r="G504" s="9" t="s">
        <v>30</v>
      </c>
      <c r="H504" s="9" t="s">
        <v>823</v>
      </c>
      <c r="I504" s="9"/>
      <c r="J504" s="9"/>
      <c r="K504" s="9">
        <v>2023</v>
      </c>
      <c r="L504" s="13" t="s">
        <v>777</v>
      </c>
      <c r="M504" s="9">
        <v>16.100000000000001</v>
      </c>
      <c r="N504" s="9" t="s">
        <v>32</v>
      </c>
      <c r="O504" s="9"/>
      <c r="P504" s="10">
        <v>46178</v>
      </c>
      <c r="Q504" s="9" t="s">
        <v>624</v>
      </c>
      <c r="R504" s="9"/>
      <c r="S504" s="9"/>
      <c r="T504" s="9"/>
    </row>
    <row r="505" spans="1:20" ht="15">
      <c r="A505">
        <v>13</v>
      </c>
      <c r="B505" t="s">
        <v>144</v>
      </c>
      <c r="C505" t="s">
        <v>17</v>
      </c>
      <c r="D505" s="9" t="s">
        <v>839</v>
      </c>
      <c r="E505" s="9" t="s">
        <v>844</v>
      </c>
      <c r="F505" s="9">
        <v>9504691</v>
      </c>
      <c r="G505" s="9" t="s">
        <v>130</v>
      </c>
      <c r="H505" s="9" t="s">
        <v>840</v>
      </c>
      <c r="I505" s="9">
        <v>57</v>
      </c>
      <c r="J505" s="9"/>
      <c r="K505" s="9">
        <v>2024</v>
      </c>
      <c r="L505" s="13" t="s">
        <v>774</v>
      </c>
      <c r="M505" s="11">
        <v>68433775.200000003</v>
      </c>
      <c r="N505" s="12" t="s">
        <v>848</v>
      </c>
      <c r="O505" s="9"/>
      <c r="P505" s="1">
        <v>46178</v>
      </c>
      <c r="Q505" s="9" t="s">
        <v>624</v>
      </c>
      <c r="R505" s="9"/>
      <c r="S505" s="9"/>
      <c r="T505" s="9"/>
    </row>
    <row r="506" spans="1:20">
      <c r="A506">
        <v>13</v>
      </c>
      <c r="B506" t="s">
        <v>144</v>
      </c>
      <c r="C506" t="s">
        <v>17</v>
      </c>
      <c r="D506" s="9" t="s">
        <v>107</v>
      </c>
      <c r="E506" s="9" t="s">
        <v>844</v>
      </c>
      <c r="F506" s="9">
        <v>5083865</v>
      </c>
      <c r="G506" s="9" t="s">
        <v>130</v>
      </c>
      <c r="H506" s="9" t="s">
        <v>840</v>
      </c>
      <c r="I506" s="9">
        <v>57</v>
      </c>
      <c r="J506" s="9"/>
      <c r="K506" s="9">
        <v>2024</v>
      </c>
      <c r="L506" t="s">
        <v>27</v>
      </c>
      <c r="M506" s="11">
        <v>36603828</v>
      </c>
      <c r="N506" s="9" t="s">
        <v>849</v>
      </c>
      <c r="O506" s="9"/>
      <c r="P506" s="1">
        <v>46178</v>
      </c>
      <c r="Q506" s="9" t="s">
        <v>624</v>
      </c>
      <c r="R506" s="9"/>
      <c r="S506" s="9"/>
      <c r="T506" s="9"/>
    </row>
    <row r="507" spans="1:20" ht="15">
      <c r="A507">
        <v>13</v>
      </c>
      <c r="B507" t="s">
        <v>144</v>
      </c>
      <c r="C507" t="s">
        <v>17</v>
      </c>
      <c r="D507" s="9" t="s">
        <v>109</v>
      </c>
      <c r="E507" s="9" t="s">
        <v>844</v>
      </c>
      <c r="F507" s="9">
        <v>53.5</v>
      </c>
      <c r="G507" s="9" t="s">
        <v>30</v>
      </c>
      <c r="H507" s="9" t="s">
        <v>840</v>
      </c>
      <c r="I507" s="9">
        <v>57</v>
      </c>
      <c r="J507" s="9"/>
      <c r="K507" s="9">
        <v>2024</v>
      </c>
      <c r="L507" s="13" t="s">
        <v>775</v>
      </c>
      <c r="M507" s="11">
        <v>53.5</v>
      </c>
      <c r="N507" s="9" t="s">
        <v>850</v>
      </c>
      <c r="O507" s="9"/>
      <c r="P507" s="1">
        <v>46178</v>
      </c>
      <c r="Q507" s="9" t="s">
        <v>624</v>
      </c>
      <c r="R507" s="9"/>
      <c r="S507" s="9"/>
      <c r="T507" s="9"/>
    </row>
    <row r="508" spans="1:20" ht="15">
      <c r="A508">
        <v>13</v>
      </c>
      <c r="B508" t="s">
        <v>144</v>
      </c>
      <c r="C508" t="s">
        <v>17</v>
      </c>
      <c r="D508" s="9" t="s">
        <v>738</v>
      </c>
      <c r="E508" s="9" t="s">
        <v>844</v>
      </c>
      <c r="F508" s="9">
        <v>4690850</v>
      </c>
      <c r="G508" s="9" t="s">
        <v>130</v>
      </c>
      <c r="H508" s="9" t="s">
        <v>840</v>
      </c>
      <c r="I508" s="9">
        <v>57</v>
      </c>
      <c r="J508" s="9"/>
      <c r="K508" s="9">
        <v>2024</v>
      </c>
      <c r="L508" s="13" t="s">
        <v>821</v>
      </c>
      <c r="M508" s="11">
        <v>33774120</v>
      </c>
      <c r="N508" s="9" t="s">
        <v>851</v>
      </c>
      <c r="O508" s="9"/>
      <c r="P508" s="1">
        <v>46178</v>
      </c>
      <c r="Q508" s="9" t="s">
        <v>624</v>
      </c>
      <c r="R508" s="9"/>
      <c r="S508" s="9"/>
      <c r="T508" s="9"/>
    </row>
    <row r="509" spans="1:20" ht="15">
      <c r="A509">
        <v>13</v>
      </c>
      <c r="B509" t="s">
        <v>144</v>
      </c>
      <c r="C509" t="s">
        <v>17</v>
      </c>
      <c r="D509" s="9" t="s">
        <v>781</v>
      </c>
      <c r="E509" s="9" t="s">
        <v>844</v>
      </c>
      <c r="F509" s="9">
        <v>49.4</v>
      </c>
      <c r="G509" s="9" t="s">
        <v>30</v>
      </c>
      <c r="H509" s="9" t="s">
        <v>840</v>
      </c>
      <c r="I509" s="9">
        <v>57</v>
      </c>
      <c r="J509" s="9"/>
      <c r="K509" s="9">
        <v>2024</v>
      </c>
      <c r="L509" s="13" t="s">
        <v>822</v>
      </c>
      <c r="M509" s="11">
        <v>49.4</v>
      </c>
      <c r="N509" s="9" t="s">
        <v>852</v>
      </c>
      <c r="O509" s="9"/>
      <c r="P509" s="1">
        <v>46178</v>
      </c>
      <c r="Q509" s="9" t="s">
        <v>624</v>
      </c>
      <c r="R509" s="9"/>
      <c r="S509" s="9"/>
      <c r="T509" s="9"/>
    </row>
    <row r="510" spans="1:20">
      <c r="A510">
        <v>13</v>
      </c>
      <c r="B510" t="s">
        <v>144</v>
      </c>
      <c r="C510" t="s">
        <v>17</v>
      </c>
      <c r="D510" s="9" t="s">
        <v>148</v>
      </c>
      <c r="E510" s="9" t="s">
        <v>844</v>
      </c>
      <c r="F510" s="9">
        <v>303773</v>
      </c>
      <c r="G510" s="9" t="s">
        <v>130</v>
      </c>
      <c r="H510" s="9" t="s">
        <v>840</v>
      </c>
      <c r="I510" s="9">
        <v>57</v>
      </c>
      <c r="J510" s="9"/>
      <c r="K510" s="9">
        <v>2024</v>
      </c>
      <c r="L510" t="s">
        <v>35</v>
      </c>
      <c r="M510" s="11">
        <v>2187165.6</v>
      </c>
      <c r="N510" s="9" t="s">
        <v>853</v>
      </c>
      <c r="O510" s="9"/>
      <c r="P510" s="1">
        <v>46178</v>
      </c>
      <c r="Q510" s="9" t="s">
        <v>624</v>
      </c>
      <c r="R510" s="9"/>
      <c r="S510" s="9"/>
      <c r="T510" s="9"/>
    </row>
    <row r="511" spans="1:20">
      <c r="A511">
        <v>13</v>
      </c>
      <c r="B511" t="s">
        <v>144</v>
      </c>
      <c r="C511" t="s">
        <v>17</v>
      </c>
      <c r="D511" s="9" t="s">
        <v>113</v>
      </c>
      <c r="E511" s="9" t="s">
        <v>844</v>
      </c>
      <c r="F511" s="9">
        <v>3.2</v>
      </c>
      <c r="G511" s="9" t="s">
        <v>30</v>
      </c>
      <c r="H511" s="9" t="s">
        <v>840</v>
      </c>
      <c r="I511" s="9">
        <v>57</v>
      </c>
      <c r="J511" s="9"/>
      <c r="K511" s="9">
        <v>2024</v>
      </c>
      <c r="L511" t="s">
        <v>35</v>
      </c>
      <c r="M511" s="11">
        <v>3.2</v>
      </c>
      <c r="N511" s="9" t="s">
        <v>854</v>
      </c>
      <c r="O511" s="9"/>
      <c r="P511" s="1">
        <v>46178</v>
      </c>
      <c r="Q511" s="9" t="s">
        <v>624</v>
      </c>
      <c r="R511" s="9"/>
      <c r="S511" s="9"/>
      <c r="T511" s="9"/>
    </row>
    <row r="512" spans="1:20" ht="15">
      <c r="A512">
        <v>13</v>
      </c>
      <c r="B512" t="s">
        <v>144</v>
      </c>
      <c r="C512" t="s">
        <v>17</v>
      </c>
      <c r="D512" s="9" t="s">
        <v>149</v>
      </c>
      <c r="E512" s="9" t="s">
        <v>844</v>
      </c>
      <c r="F512" s="9">
        <v>-189716</v>
      </c>
      <c r="G512" s="9" t="s">
        <v>130</v>
      </c>
      <c r="H512" s="9" t="s">
        <v>840</v>
      </c>
      <c r="I512" s="9">
        <v>57</v>
      </c>
      <c r="J512" s="9"/>
      <c r="K512" s="9">
        <v>2024</v>
      </c>
      <c r="L512" s="13" t="s">
        <v>776</v>
      </c>
      <c r="M512" s="11">
        <v>-1365955.2</v>
      </c>
      <c r="N512" s="9" t="s">
        <v>855</v>
      </c>
      <c r="O512" s="9"/>
      <c r="P512" s="1">
        <v>46178</v>
      </c>
      <c r="Q512" s="9" t="s">
        <v>624</v>
      </c>
      <c r="R512" s="9"/>
      <c r="S512" s="9"/>
      <c r="T512" s="9"/>
    </row>
    <row r="513" spans="1:20" ht="15">
      <c r="A513">
        <v>13</v>
      </c>
      <c r="B513" t="s">
        <v>144</v>
      </c>
      <c r="C513" t="s">
        <v>17</v>
      </c>
      <c r="D513" s="9" t="s">
        <v>151</v>
      </c>
      <c r="E513" s="9" t="s">
        <v>844</v>
      </c>
      <c r="F513" s="9">
        <v>-2</v>
      </c>
      <c r="G513" s="9" t="s">
        <v>30</v>
      </c>
      <c r="H513" s="9" t="s">
        <v>840</v>
      </c>
      <c r="I513" s="9">
        <v>57</v>
      </c>
      <c r="J513" s="9"/>
      <c r="K513" s="9">
        <v>2024</v>
      </c>
      <c r="L513" s="13" t="s">
        <v>777</v>
      </c>
      <c r="M513" s="11">
        <v>-2</v>
      </c>
      <c r="N513" s="9" t="s">
        <v>856</v>
      </c>
      <c r="O513" s="9"/>
      <c r="P513" s="1">
        <v>46178</v>
      </c>
      <c r="Q513" s="9" t="s">
        <v>624</v>
      </c>
      <c r="R513" s="9"/>
      <c r="S513" s="9"/>
      <c r="T513" s="9"/>
    </row>
    <row r="514" spans="1:20" ht="15">
      <c r="A514">
        <v>13</v>
      </c>
      <c r="B514" t="s">
        <v>144</v>
      </c>
      <c r="C514" t="s">
        <v>17</v>
      </c>
      <c r="D514" s="9" t="s">
        <v>839</v>
      </c>
      <c r="E514" s="9" t="s">
        <v>845</v>
      </c>
      <c r="F514" s="9">
        <v>9915678</v>
      </c>
      <c r="G514" s="9" t="s">
        <v>130</v>
      </c>
      <c r="H514" s="9" t="s">
        <v>840</v>
      </c>
      <c r="I514" s="9">
        <v>57</v>
      </c>
      <c r="J514" s="9"/>
      <c r="K514" s="9">
        <v>2023</v>
      </c>
      <c r="L514" s="13" t="s">
        <v>774</v>
      </c>
      <c r="M514" s="11">
        <v>71392881.599999994</v>
      </c>
      <c r="N514" s="12" t="s">
        <v>857</v>
      </c>
      <c r="O514" s="9"/>
      <c r="P514" s="1">
        <v>46178</v>
      </c>
      <c r="Q514" s="9" t="s">
        <v>624</v>
      </c>
      <c r="R514" s="9"/>
      <c r="S514" s="9"/>
      <c r="T514" s="9"/>
    </row>
    <row r="515" spans="1:20">
      <c r="A515">
        <v>13</v>
      </c>
      <c r="B515" t="s">
        <v>144</v>
      </c>
      <c r="C515" t="s">
        <v>17</v>
      </c>
      <c r="D515" s="9" t="s">
        <v>107</v>
      </c>
      <c r="E515" s="9" t="s">
        <v>845</v>
      </c>
      <c r="F515" s="9">
        <v>5112300</v>
      </c>
      <c r="G515" s="9" t="s">
        <v>130</v>
      </c>
      <c r="H515" s="9" t="s">
        <v>840</v>
      </c>
      <c r="I515" s="9">
        <v>57</v>
      </c>
      <c r="J515" s="9"/>
      <c r="K515" s="9">
        <v>2023</v>
      </c>
      <c r="L515" t="s">
        <v>27</v>
      </c>
      <c r="M515" s="11">
        <v>36808560</v>
      </c>
      <c r="N515" s="9" t="s">
        <v>858</v>
      </c>
      <c r="O515" s="9"/>
      <c r="P515" s="1">
        <v>46178</v>
      </c>
      <c r="Q515" s="9" t="s">
        <v>624</v>
      </c>
      <c r="R515" s="9"/>
      <c r="S515" s="9"/>
      <c r="T515" s="9"/>
    </row>
    <row r="516" spans="1:20" ht="15">
      <c r="A516">
        <v>13</v>
      </c>
      <c r="B516" t="s">
        <v>144</v>
      </c>
      <c r="C516" t="s">
        <v>17</v>
      </c>
      <c r="D516" s="9" t="s">
        <v>109</v>
      </c>
      <c r="E516" s="9" t="s">
        <v>845</v>
      </c>
      <c r="F516" s="9">
        <v>51.6</v>
      </c>
      <c r="G516" s="9" t="s">
        <v>30</v>
      </c>
      <c r="H516" s="9" t="s">
        <v>840</v>
      </c>
      <c r="I516" s="9">
        <v>57</v>
      </c>
      <c r="J516" s="9"/>
      <c r="K516" s="9">
        <v>2023</v>
      </c>
      <c r="L516" s="13" t="s">
        <v>775</v>
      </c>
      <c r="M516" s="11">
        <v>51.6</v>
      </c>
      <c r="N516" s="9" t="s">
        <v>859</v>
      </c>
      <c r="O516" s="9"/>
      <c r="P516" s="1">
        <v>46178</v>
      </c>
      <c r="Q516" s="9" t="s">
        <v>624</v>
      </c>
      <c r="R516" s="9"/>
      <c r="S516" s="9"/>
      <c r="T516" s="9"/>
    </row>
    <row r="517" spans="1:20" ht="15">
      <c r="A517">
        <v>13</v>
      </c>
      <c r="B517" t="s">
        <v>144</v>
      </c>
      <c r="C517" t="s">
        <v>17</v>
      </c>
      <c r="D517" s="9" t="s">
        <v>738</v>
      </c>
      <c r="E517" s="9" t="s">
        <v>845</v>
      </c>
      <c r="F517" s="9">
        <v>4748669</v>
      </c>
      <c r="G517" s="9" t="s">
        <v>130</v>
      </c>
      <c r="H517" s="9" t="s">
        <v>840</v>
      </c>
      <c r="I517" s="9">
        <v>57</v>
      </c>
      <c r="J517" s="9"/>
      <c r="K517" s="9">
        <v>2023</v>
      </c>
      <c r="L517" s="13" t="s">
        <v>821</v>
      </c>
      <c r="M517" s="11">
        <v>34190416.799999997</v>
      </c>
      <c r="N517" s="9" t="s">
        <v>860</v>
      </c>
      <c r="O517" s="9"/>
      <c r="P517" s="1">
        <v>46178</v>
      </c>
      <c r="Q517" s="9" t="s">
        <v>624</v>
      </c>
      <c r="R517" s="9"/>
      <c r="S517" s="9"/>
      <c r="T517" s="9"/>
    </row>
    <row r="518" spans="1:20" ht="15">
      <c r="A518">
        <v>13</v>
      </c>
      <c r="B518" t="s">
        <v>144</v>
      </c>
      <c r="C518" t="s">
        <v>17</v>
      </c>
      <c r="D518" s="9" t="s">
        <v>781</v>
      </c>
      <c r="E518" s="9" t="s">
        <v>845</v>
      </c>
      <c r="F518" s="9">
        <v>47.9</v>
      </c>
      <c r="G518" s="9" t="s">
        <v>30</v>
      </c>
      <c r="H518" s="9" t="s">
        <v>840</v>
      </c>
      <c r="I518" s="9">
        <v>57</v>
      </c>
      <c r="J518" s="9"/>
      <c r="K518" s="9">
        <v>2023</v>
      </c>
      <c r="L518" s="13" t="s">
        <v>822</v>
      </c>
      <c r="M518" s="11">
        <v>47.9</v>
      </c>
      <c r="N518" s="9" t="s">
        <v>861</v>
      </c>
      <c r="O518" s="9"/>
      <c r="P518" s="1">
        <v>46178</v>
      </c>
      <c r="Q518" s="9" t="s">
        <v>624</v>
      </c>
      <c r="R518" s="9"/>
      <c r="S518" s="9"/>
      <c r="T518" s="9"/>
    </row>
    <row r="519" spans="1:20">
      <c r="A519">
        <v>13</v>
      </c>
      <c r="B519" t="s">
        <v>144</v>
      </c>
      <c r="C519" t="s">
        <v>17</v>
      </c>
      <c r="D519" s="9" t="s">
        <v>148</v>
      </c>
      <c r="E519" s="9" t="s">
        <v>845</v>
      </c>
      <c r="F519" s="9">
        <v>-143935</v>
      </c>
      <c r="G519" s="9" t="s">
        <v>130</v>
      </c>
      <c r="H519" s="9" t="s">
        <v>840</v>
      </c>
      <c r="I519" s="9">
        <v>57</v>
      </c>
      <c r="J519" s="9"/>
      <c r="K519" s="9">
        <v>2023</v>
      </c>
      <c r="L519" t="s">
        <v>35</v>
      </c>
      <c r="M519" s="11">
        <v>-1036332</v>
      </c>
      <c r="N519" s="9" t="s">
        <v>862</v>
      </c>
      <c r="O519" s="9"/>
      <c r="P519" s="1">
        <v>46178</v>
      </c>
      <c r="Q519" s="9" t="s">
        <v>624</v>
      </c>
      <c r="R519" s="9"/>
      <c r="S519" s="9"/>
      <c r="T519" s="9"/>
    </row>
    <row r="520" spans="1:20">
      <c r="A520">
        <v>13</v>
      </c>
      <c r="B520" t="s">
        <v>144</v>
      </c>
      <c r="C520" t="s">
        <v>17</v>
      </c>
      <c r="D520" s="9" t="s">
        <v>113</v>
      </c>
      <c r="E520" s="9" t="s">
        <v>845</v>
      </c>
      <c r="F520" s="9">
        <v>-1.5</v>
      </c>
      <c r="G520" s="9" t="s">
        <v>30</v>
      </c>
      <c r="H520" s="9" t="s">
        <v>840</v>
      </c>
      <c r="I520" s="9">
        <v>57</v>
      </c>
      <c r="J520" s="9"/>
      <c r="K520" s="9">
        <v>2023</v>
      </c>
      <c r="L520" t="s">
        <v>35</v>
      </c>
      <c r="M520" s="11">
        <v>-1.5</v>
      </c>
      <c r="N520" s="9" t="s">
        <v>863</v>
      </c>
      <c r="O520" s="9"/>
      <c r="P520" s="1">
        <v>46178</v>
      </c>
      <c r="Q520" s="9" t="s">
        <v>624</v>
      </c>
      <c r="R520" s="9"/>
      <c r="S520" s="9"/>
      <c r="T520" s="9"/>
    </row>
    <row r="521" spans="1:20" ht="15">
      <c r="A521">
        <v>13</v>
      </c>
      <c r="B521" t="s">
        <v>144</v>
      </c>
      <c r="C521" t="s">
        <v>17</v>
      </c>
      <c r="D521" s="9" t="s">
        <v>149</v>
      </c>
      <c r="E521" s="9" t="s">
        <v>845</v>
      </c>
      <c r="F521" s="9">
        <v>-968882</v>
      </c>
      <c r="G521" s="9" t="s">
        <v>130</v>
      </c>
      <c r="H521" s="9" t="s">
        <v>840</v>
      </c>
      <c r="I521" s="9">
        <v>57</v>
      </c>
      <c r="J521" s="9"/>
      <c r="K521" s="9">
        <v>2023</v>
      </c>
      <c r="L521" s="13" t="s">
        <v>776</v>
      </c>
      <c r="M521" s="11">
        <v>-6975950.4000000004</v>
      </c>
      <c r="N521" s="9" t="s">
        <v>864</v>
      </c>
      <c r="O521" s="9"/>
      <c r="P521" s="1">
        <v>46178</v>
      </c>
      <c r="Q521" s="9" t="s">
        <v>624</v>
      </c>
      <c r="R521" s="9"/>
      <c r="S521" s="9"/>
      <c r="T521" s="9"/>
    </row>
    <row r="522" spans="1:20" ht="15">
      <c r="A522">
        <v>13</v>
      </c>
      <c r="B522" t="s">
        <v>144</v>
      </c>
      <c r="C522" t="s">
        <v>17</v>
      </c>
      <c r="D522" s="9" t="s">
        <v>151</v>
      </c>
      <c r="E522" s="9" t="s">
        <v>845</v>
      </c>
      <c r="F522" s="9">
        <v>-9.8000000000000007</v>
      </c>
      <c r="G522" s="9" t="s">
        <v>30</v>
      </c>
      <c r="H522" s="9" t="s">
        <v>840</v>
      </c>
      <c r="I522" s="9">
        <v>57</v>
      </c>
      <c r="J522" s="9"/>
      <c r="K522" s="9">
        <v>2023</v>
      </c>
      <c r="L522" s="13" t="s">
        <v>777</v>
      </c>
      <c r="M522" s="11">
        <v>-9.8000000000000007</v>
      </c>
      <c r="N522" s="9" t="s">
        <v>865</v>
      </c>
      <c r="O522" s="9"/>
      <c r="P522" s="1">
        <v>46178</v>
      </c>
      <c r="Q522" s="9" t="s">
        <v>624</v>
      </c>
      <c r="R522" s="9"/>
      <c r="S522" s="9"/>
      <c r="T522" s="9"/>
    </row>
    <row r="523" spans="1:20" ht="15">
      <c r="A523">
        <v>13</v>
      </c>
      <c r="B523" t="s">
        <v>144</v>
      </c>
      <c r="C523" t="s">
        <v>17</v>
      </c>
      <c r="D523" s="9" t="s">
        <v>839</v>
      </c>
      <c r="E523" s="9" t="s">
        <v>846</v>
      </c>
      <c r="F523" s="9">
        <v>9605207</v>
      </c>
      <c r="G523" s="9" t="s">
        <v>130</v>
      </c>
      <c r="H523" s="9" t="s">
        <v>847</v>
      </c>
      <c r="I523" s="9">
        <v>57</v>
      </c>
      <c r="J523" s="9"/>
      <c r="K523" s="9">
        <v>2025</v>
      </c>
      <c r="L523" s="13" t="s">
        <v>774</v>
      </c>
      <c r="M523" s="11">
        <v>69157490.400000006</v>
      </c>
      <c r="N523" s="12" t="s">
        <v>866</v>
      </c>
      <c r="O523" s="9"/>
      <c r="P523" s="1">
        <v>46178</v>
      </c>
      <c r="Q523" s="9" t="s">
        <v>624</v>
      </c>
      <c r="R523" s="9"/>
      <c r="S523" s="9"/>
      <c r="T523" s="9"/>
    </row>
    <row r="524" spans="1:20">
      <c r="A524">
        <v>13</v>
      </c>
      <c r="B524" t="s">
        <v>144</v>
      </c>
      <c r="C524" t="s">
        <v>17</v>
      </c>
      <c r="D524" s="9" t="s">
        <v>107</v>
      </c>
      <c r="E524" s="9" t="s">
        <v>846</v>
      </c>
      <c r="F524" s="9">
        <v>5261715</v>
      </c>
      <c r="G524" s="9" t="s">
        <v>130</v>
      </c>
      <c r="H524" s="9" t="s">
        <v>847</v>
      </c>
      <c r="I524" s="9">
        <v>57</v>
      </c>
      <c r="J524" s="9"/>
      <c r="K524" s="9">
        <v>2025</v>
      </c>
      <c r="L524" t="s">
        <v>27</v>
      </c>
      <c r="M524" s="11">
        <v>37884348</v>
      </c>
      <c r="N524" s="9" t="s">
        <v>867</v>
      </c>
      <c r="O524" s="9"/>
      <c r="P524" s="1">
        <v>46178</v>
      </c>
      <c r="Q524" s="9" t="s">
        <v>624</v>
      </c>
      <c r="R524" s="9"/>
      <c r="S524" s="9"/>
      <c r="T524" s="9"/>
    </row>
    <row r="525" spans="1:20" ht="15">
      <c r="A525">
        <v>13</v>
      </c>
      <c r="B525" t="s">
        <v>144</v>
      </c>
      <c r="C525" t="s">
        <v>17</v>
      </c>
      <c r="D525" s="9" t="s">
        <v>109</v>
      </c>
      <c r="E525" s="9" t="s">
        <v>846</v>
      </c>
      <c r="F525" s="9">
        <v>54.8</v>
      </c>
      <c r="G525" s="9" t="s">
        <v>30</v>
      </c>
      <c r="H525" s="9" t="s">
        <v>847</v>
      </c>
      <c r="I525" s="9">
        <v>57</v>
      </c>
      <c r="J525" s="9"/>
      <c r="K525" s="9">
        <v>2025</v>
      </c>
      <c r="L525" s="13" t="s">
        <v>775</v>
      </c>
      <c r="M525" s="11">
        <v>54.8</v>
      </c>
      <c r="N525" s="9" t="s">
        <v>868</v>
      </c>
      <c r="O525" s="9"/>
      <c r="P525" s="1">
        <v>46178</v>
      </c>
      <c r="Q525" s="9" t="s">
        <v>624</v>
      </c>
      <c r="R525" s="9"/>
      <c r="S525" s="9"/>
      <c r="T525" s="9"/>
    </row>
    <row r="526" spans="1:20" ht="15">
      <c r="A526">
        <v>13</v>
      </c>
      <c r="B526" t="s">
        <v>144</v>
      </c>
      <c r="C526" t="s">
        <v>17</v>
      </c>
      <c r="D526" s="9" t="s">
        <v>738</v>
      </c>
      <c r="E526" s="9" t="s">
        <v>846</v>
      </c>
      <c r="F526" s="9">
        <v>4654430</v>
      </c>
      <c r="G526" s="9" t="s">
        <v>130</v>
      </c>
      <c r="H526" s="9" t="s">
        <v>847</v>
      </c>
      <c r="I526" s="9">
        <v>57</v>
      </c>
      <c r="J526" s="9"/>
      <c r="K526" s="9">
        <v>2025</v>
      </c>
      <c r="L526" s="13" t="s">
        <v>821</v>
      </c>
      <c r="M526" s="11">
        <v>33511896</v>
      </c>
      <c r="N526" s="9" t="s">
        <v>869</v>
      </c>
      <c r="O526" s="9"/>
      <c r="P526" s="1">
        <v>46178</v>
      </c>
      <c r="Q526" s="9" t="s">
        <v>624</v>
      </c>
      <c r="R526" s="9"/>
      <c r="S526" s="9"/>
      <c r="T526" s="9"/>
    </row>
    <row r="527" spans="1:20" ht="15">
      <c r="A527">
        <v>13</v>
      </c>
      <c r="B527" t="s">
        <v>144</v>
      </c>
      <c r="C527" t="s">
        <v>17</v>
      </c>
      <c r="D527" s="9" t="s">
        <v>781</v>
      </c>
      <c r="E527" s="9" t="s">
        <v>846</v>
      </c>
      <c r="F527" s="9">
        <v>48.5</v>
      </c>
      <c r="G527" s="9" t="s">
        <v>30</v>
      </c>
      <c r="H527" s="9" t="s">
        <v>847</v>
      </c>
      <c r="I527" s="9">
        <v>57</v>
      </c>
      <c r="J527" s="9"/>
      <c r="K527" s="9">
        <v>2025</v>
      </c>
      <c r="L527" s="13" t="s">
        <v>822</v>
      </c>
      <c r="M527" s="11">
        <v>48.5</v>
      </c>
      <c r="N527" s="9" t="s">
        <v>870</v>
      </c>
      <c r="O527" s="9"/>
      <c r="P527" s="1">
        <v>46178</v>
      </c>
      <c r="Q527" s="9" t="s">
        <v>624</v>
      </c>
      <c r="R527" s="9"/>
      <c r="S527" s="9"/>
      <c r="T527" s="9"/>
    </row>
    <row r="528" spans="1:20">
      <c r="A528">
        <v>13</v>
      </c>
      <c r="B528" t="s">
        <v>144</v>
      </c>
      <c r="C528" t="s">
        <v>17</v>
      </c>
      <c r="D528" s="9" t="s">
        <v>148</v>
      </c>
      <c r="E528" s="9" t="s">
        <v>846</v>
      </c>
      <c r="F528" s="9">
        <v>576569</v>
      </c>
      <c r="G528" s="9" t="s">
        <v>130</v>
      </c>
      <c r="H528" s="9" t="s">
        <v>847</v>
      </c>
      <c r="I528" s="9">
        <v>57</v>
      </c>
      <c r="J528" s="9"/>
      <c r="K528" s="9">
        <v>2025</v>
      </c>
      <c r="L528" t="s">
        <v>35</v>
      </c>
      <c r="M528" s="11">
        <v>4151296.8</v>
      </c>
      <c r="N528" s="9" t="s">
        <v>871</v>
      </c>
      <c r="O528" s="9"/>
      <c r="P528" s="1">
        <v>46178</v>
      </c>
      <c r="Q528" s="9" t="s">
        <v>624</v>
      </c>
      <c r="R528" s="9"/>
      <c r="S528" s="9"/>
      <c r="T528" s="9"/>
    </row>
    <row r="529" spans="1:20">
      <c r="A529">
        <v>13</v>
      </c>
      <c r="B529" t="s">
        <v>144</v>
      </c>
      <c r="C529" t="s">
        <v>17</v>
      </c>
      <c r="D529" s="9" t="s">
        <v>113</v>
      </c>
      <c r="E529" s="9" t="s">
        <v>846</v>
      </c>
      <c r="F529" s="9">
        <v>6</v>
      </c>
      <c r="G529" s="9" t="s">
        <v>30</v>
      </c>
      <c r="H529" s="9" t="s">
        <v>847</v>
      </c>
      <c r="I529" s="9">
        <v>57</v>
      </c>
      <c r="J529" s="9"/>
      <c r="K529" s="9">
        <v>2025</v>
      </c>
      <c r="L529" t="s">
        <v>35</v>
      </c>
      <c r="M529" s="11">
        <v>6</v>
      </c>
      <c r="N529" s="9" t="s">
        <v>872</v>
      </c>
      <c r="O529" s="9"/>
      <c r="P529" s="1">
        <v>46178</v>
      </c>
      <c r="Q529" s="9" t="s">
        <v>624</v>
      </c>
      <c r="R529" s="9"/>
      <c r="S529" s="9"/>
      <c r="T529" s="9"/>
    </row>
    <row r="530" spans="1:20" ht="15">
      <c r="A530">
        <v>13</v>
      </c>
      <c r="B530" t="s">
        <v>144</v>
      </c>
      <c r="C530" t="s">
        <v>17</v>
      </c>
      <c r="D530" s="9" t="s">
        <v>149</v>
      </c>
      <c r="E530" s="9" t="s">
        <v>846</v>
      </c>
      <c r="F530" s="9">
        <v>254920</v>
      </c>
      <c r="G530" s="9" t="s">
        <v>130</v>
      </c>
      <c r="H530" s="9" t="s">
        <v>847</v>
      </c>
      <c r="I530" s="9">
        <v>57</v>
      </c>
      <c r="J530" s="9"/>
      <c r="K530" s="9">
        <v>2025</v>
      </c>
      <c r="L530" s="13" t="s">
        <v>776</v>
      </c>
      <c r="M530" s="11">
        <v>1835424</v>
      </c>
      <c r="N530" s="9" t="s">
        <v>873</v>
      </c>
      <c r="O530" s="9"/>
      <c r="P530" s="1">
        <v>46178</v>
      </c>
      <c r="Q530" s="9" t="s">
        <v>624</v>
      </c>
      <c r="R530" s="9"/>
      <c r="S530" s="9"/>
      <c r="T530" s="9"/>
    </row>
    <row r="531" spans="1:20" ht="15">
      <c r="A531">
        <v>13</v>
      </c>
      <c r="B531" t="s">
        <v>144</v>
      </c>
      <c r="C531" t="s">
        <v>17</v>
      </c>
      <c r="D531" s="9" t="s">
        <v>151</v>
      </c>
      <c r="E531" s="9" t="s">
        <v>846</v>
      </c>
      <c r="F531" s="9">
        <v>2.7</v>
      </c>
      <c r="G531" s="9" t="s">
        <v>30</v>
      </c>
      <c r="H531" s="9" t="s">
        <v>847</v>
      </c>
      <c r="I531" s="9">
        <v>57</v>
      </c>
      <c r="J531" s="9"/>
      <c r="K531" s="9">
        <v>2025</v>
      </c>
      <c r="L531" s="13" t="s">
        <v>777</v>
      </c>
      <c r="M531" s="11">
        <v>2.7</v>
      </c>
      <c r="N531" s="9" t="s">
        <v>874</v>
      </c>
      <c r="O531" s="9"/>
      <c r="P531" s="1">
        <v>46178</v>
      </c>
      <c r="Q531" s="9" t="s">
        <v>624</v>
      </c>
      <c r="R531" s="9"/>
      <c r="S531" s="9"/>
      <c r="T531" s="9"/>
    </row>
    <row r="532" spans="1:20" ht="15">
      <c r="A532">
        <v>5</v>
      </c>
      <c r="B532" t="s">
        <v>589</v>
      </c>
      <c r="C532" t="s">
        <v>17</v>
      </c>
      <c r="D532" s="9" t="s">
        <v>102</v>
      </c>
      <c r="E532" s="9" t="s">
        <v>51</v>
      </c>
      <c r="F532" s="9">
        <v>810916</v>
      </c>
      <c r="G532" s="9" t="s">
        <v>560</v>
      </c>
      <c r="H532" s="9" t="s">
        <v>875</v>
      </c>
      <c r="I532" s="9">
        <v>10</v>
      </c>
      <c r="J532" s="9"/>
      <c r="K532" s="9">
        <v>2025</v>
      </c>
      <c r="L532" s="13" t="s">
        <v>774</v>
      </c>
      <c r="M532" s="9">
        <v>38923968</v>
      </c>
      <c r="N532" s="12" t="s">
        <v>879</v>
      </c>
      <c r="O532" s="9"/>
      <c r="P532" s="10">
        <v>46178</v>
      </c>
      <c r="Q532" s="9" t="s">
        <v>624</v>
      </c>
      <c r="R532" s="9"/>
      <c r="S532" s="9"/>
      <c r="T532" s="9"/>
    </row>
    <row r="533" spans="1:20">
      <c r="A533">
        <v>5</v>
      </c>
      <c r="B533" t="s">
        <v>589</v>
      </c>
      <c r="C533" t="s">
        <v>17</v>
      </c>
      <c r="D533" s="9" t="s">
        <v>107</v>
      </c>
      <c r="E533" s="9" t="s">
        <v>51</v>
      </c>
      <c r="F533" s="9">
        <v>460632</v>
      </c>
      <c r="G533" s="9" t="s">
        <v>560</v>
      </c>
      <c r="H533" s="9" t="s">
        <v>875</v>
      </c>
      <c r="I533" s="9">
        <v>10</v>
      </c>
      <c r="J533" s="9"/>
      <c r="K533" s="9">
        <v>2025</v>
      </c>
      <c r="L533" t="s">
        <v>27</v>
      </c>
      <c r="M533" s="9">
        <v>22110336</v>
      </c>
      <c r="N533" s="9" t="s">
        <v>880</v>
      </c>
      <c r="O533" s="9"/>
      <c r="P533" s="10">
        <v>46178</v>
      </c>
      <c r="Q533" s="9" t="s">
        <v>624</v>
      </c>
      <c r="R533" s="9"/>
      <c r="S533" s="9"/>
      <c r="T533" s="9"/>
    </row>
    <row r="534" spans="1:20" ht="15">
      <c r="A534">
        <v>5</v>
      </c>
      <c r="B534" t="s">
        <v>589</v>
      </c>
      <c r="C534" t="s">
        <v>17</v>
      </c>
      <c r="D534" s="9" t="s">
        <v>109</v>
      </c>
      <c r="E534" s="9" t="s">
        <v>51</v>
      </c>
      <c r="F534" s="9">
        <v>56.8</v>
      </c>
      <c r="G534" s="9" t="s">
        <v>30</v>
      </c>
      <c r="H534" s="9" t="s">
        <v>875</v>
      </c>
      <c r="I534" s="9">
        <v>10</v>
      </c>
      <c r="J534" s="9"/>
      <c r="K534" s="9">
        <v>2025</v>
      </c>
      <c r="L534" s="13" t="s">
        <v>775</v>
      </c>
      <c r="M534" s="9">
        <v>56.8</v>
      </c>
      <c r="N534" s="9" t="s">
        <v>881</v>
      </c>
      <c r="O534" s="9"/>
      <c r="P534" s="10">
        <v>46178</v>
      </c>
      <c r="Q534" s="9" t="s">
        <v>624</v>
      </c>
      <c r="R534" s="9"/>
      <c r="S534" s="9"/>
      <c r="T534" s="9"/>
    </row>
    <row r="535" spans="1:20" ht="15">
      <c r="A535">
        <v>5</v>
      </c>
      <c r="B535" t="s">
        <v>589</v>
      </c>
      <c r="C535" t="s">
        <v>17</v>
      </c>
      <c r="D535" s="9" t="s">
        <v>738</v>
      </c>
      <c r="E535" s="9" t="s">
        <v>51</v>
      </c>
      <c r="F535" s="9">
        <v>318112</v>
      </c>
      <c r="G535" s="9" t="s">
        <v>560</v>
      </c>
      <c r="H535" s="9" t="s">
        <v>875</v>
      </c>
      <c r="I535" s="9">
        <v>10</v>
      </c>
      <c r="J535" s="9"/>
      <c r="K535" s="9">
        <v>2025</v>
      </c>
      <c r="L535" s="13" t="s">
        <v>821</v>
      </c>
      <c r="M535" s="9">
        <v>15269376</v>
      </c>
      <c r="N535" s="9" t="s">
        <v>882</v>
      </c>
      <c r="O535" s="9"/>
      <c r="P535" s="10">
        <v>46178</v>
      </c>
      <c r="Q535" s="9" t="s">
        <v>624</v>
      </c>
      <c r="R535" s="9"/>
      <c r="S535" s="9"/>
      <c r="T535" s="9"/>
    </row>
    <row r="536" spans="1:20" ht="15">
      <c r="A536">
        <v>5</v>
      </c>
      <c r="B536" t="s">
        <v>589</v>
      </c>
      <c r="C536" t="s">
        <v>17</v>
      </c>
      <c r="D536" s="9" t="s">
        <v>781</v>
      </c>
      <c r="E536" s="9" t="s">
        <v>51</v>
      </c>
      <c r="F536" s="9">
        <v>39.229999999999997</v>
      </c>
      <c r="G536" s="9" t="s">
        <v>30</v>
      </c>
      <c r="H536" s="9" t="s">
        <v>875</v>
      </c>
      <c r="I536" s="9">
        <v>10</v>
      </c>
      <c r="J536" s="9"/>
      <c r="K536" s="9">
        <v>2025</v>
      </c>
      <c r="L536" s="13" t="s">
        <v>822</v>
      </c>
      <c r="M536" s="9">
        <v>39.229999999999997</v>
      </c>
      <c r="N536" s="9" t="s">
        <v>883</v>
      </c>
      <c r="O536" s="9"/>
      <c r="P536" s="10">
        <v>46178</v>
      </c>
      <c r="Q536" s="9" t="s">
        <v>624</v>
      </c>
      <c r="R536" s="9"/>
      <c r="S536" s="9"/>
      <c r="T536" s="9"/>
    </row>
    <row r="537" spans="1:20">
      <c r="A537">
        <v>5</v>
      </c>
      <c r="B537" t="s">
        <v>589</v>
      </c>
      <c r="C537" t="s">
        <v>17</v>
      </c>
      <c r="D537" s="9" t="s">
        <v>111</v>
      </c>
      <c r="E537" s="9" t="s">
        <v>51</v>
      </c>
      <c r="F537" s="9">
        <v>142519</v>
      </c>
      <c r="G537" s="9" t="s">
        <v>560</v>
      </c>
      <c r="H537" s="9" t="s">
        <v>875</v>
      </c>
      <c r="I537" s="9">
        <v>10</v>
      </c>
      <c r="J537" s="9"/>
      <c r="K537" s="9">
        <v>2025</v>
      </c>
      <c r="L537" t="s">
        <v>35</v>
      </c>
      <c r="M537" s="9">
        <v>6840912</v>
      </c>
      <c r="N537" s="9" t="s">
        <v>884</v>
      </c>
      <c r="O537" s="9"/>
      <c r="P537" s="10">
        <v>46178</v>
      </c>
      <c r="Q537" s="9" t="s">
        <v>624</v>
      </c>
      <c r="R537" s="9"/>
      <c r="S537" s="9"/>
      <c r="T537" s="9"/>
    </row>
    <row r="538" spans="1:20" ht="15">
      <c r="A538">
        <v>5</v>
      </c>
      <c r="B538" t="s">
        <v>589</v>
      </c>
      <c r="C538" t="s">
        <v>17</v>
      </c>
      <c r="D538" s="9" t="s">
        <v>113</v>
      </c>
      <c r="E538" s="9" t="s">
        <v>51</v>
      </c>
      <c r="F538" s="9">
        <v>17.57</v>
      </c>
      <c r="G538" s="9" t="s">
        <v>30</v>
      </c>
      <c r="H538" s="9" t="s">
        <v>875</v>
      </c>
      <c r="I538" s="9">
        <v>10</v>
      </c>
      <c r="J538" s="9"/>
      <c r="K538" s="9">
        <v>2025</v>
      </c>
      <c r="L538" s="13" t="s">
        <v>820</v>
      </c>
      <c r="M538" s="9">
        <v>17.57</v>
      </c>
      <c r="N538" s="9" t="s">
        <v>885</v>
      </c>
      <c r="O538" s="9"/>
      <c r="P538" s="10">
        <v>46178</v>
      </c>
      <c r="Q538" s="9" t="s">
        <v>624</v>
      </c>
      <c r="R538" s="9"/>
      <c r="S538" s="9"/>
      <c r="T538" s="9"/>
    </row>
    <row r="539" spans="1:20" ht="15">
      <c r="A539">
        <v>5</v>
      </c>
      <c r="B539" t="s">
        <v>589</v>
      </c>
      <c r="C539" t="s">
        <v>17</v>
      </c>
      <c r="D539" s="9" t="s">
        <v>149</v>
      </c>
      <c r="E539" s="9" t="s">
        <v>51</v>
      </c>
      <c r="F539" s="9">
        <v>98828</v>
      </c>
      <c r="G539" s="9" t="s">
        <v>560</v>
      </c>
      <c r="H539" s="9" t="s">
        <v>875</v>
      </c>
      <c r="I539" s="9">
        <v>10</v>
      </c>
      <c r="J539" s="9"/>
      <c r="K539" s="9">
        <v>2025</v>
      </c>
      <c r="L539" s="13" t="s">
        <v>776</v>
      </c>
      <c r="M539" s="9">
        <v>4743744</v>
      </c>
      <c r="N539" s="9" t="s">
        <v>886</v>
      </c>
      <c r="O539" s="9"/>
      <c r="P539" s="10">
        <v>46178</v>
      </c>
      <c r="Q539" s="9" t="s">
        <v>624</v>
      </c>
      <c r="R539" s="9"/>
      <c r="S539" s="9"/>
      <c r="T539" s="9"/>
    </row>
    <row r="540" spans="1:20">
      <c r="A540">
        <v>5</v>
      </c>
      <c r="B540" t="s">
        <v>589</v>
      </c>
      <c r="C540" t="s">
        <v>17</v>
      </c>
      <c r="D540" t="s">
        <v>151</v>
      </c>
      <c r="E540" t="s">
        <v>895</v>
      </c>
      <c r="F540" s="5">
        <f>F539/F532*100</f>
        <v>12.187205579862773</v>
      </c>
      <c r="G540" t="s">
        <v>30</v>
      </c>
      <c r="H540" t="s">
        <v>190</v>
      </c>
      <c r="I540" s="9">
        <v>10</v>
      </c>
      <c r="J540" t="s">
        <v>192</v>
      </c>
      <c r="K540">
        <v>2024</v>
      </c>
      <c r="L540" t="s">
        <v>36</v>
      </c>
      <c r="M540" s="15">
        <f>F540</f>
        <v>12.187205579862773</v>
      </c>
      <c r="N540" t="s">
        <v>137</v>
      </c>
      <c r="O540" t="s">
        <v>134</v>
      </c>
      <c r="P540" s="10">
        <v>46178</v>
      </c>
      <c r="Q540" s="9" t="s">
        <v>624</v>
      </c>
    </row>
    <row r="541" spans="1:20" ht="15">
      <c r="A541">
        <v>5</v>
      </c>
      <c r="B541" t="s">
        <v>589</v>
      </c>
      <c r="C541" t="s">
        <v>17</v>
      </c>
      <c r="D541" s="9" t="s">
        <v>102</v>
      </c>
      <c r="E541" s="9" t="s">
        <v>57</v>
      </c>
      <c r="F541" s="9">
        <v>678526</v>
      </c>
      <c r="G541" s="9" t="s">
        <v>560</v>
      </c>
      <c r="H541" s="9" t="s">
        <v>875</v>
      </c>
      <c r="I541" s="9">
        <v>10</v>
      </c>
      <c r="J541" s="9"/>
      <c r="K541" s="9">
        <v>2024</v>
      </c>
      <c r="L541" s="13" t="s">
        <v>774</v>
      </c>
      <c r="M541" s="9">
        <v>32569248</v>
      </c>
      <c r="N541" s="9" t="s">
        <v>887</v>
      </c>
      <c r="O541" s="9"/>
      <c r="P541" s="10">
        <v>46178</v>
      </c>
      <c r="Q541" s="9" t="s">
        <v>624</v>
      </c>
      <c r="R541" s="9"/>
      <c r="S541" s="9"/>
      <c r="T541" s="9"/>
    </row>
    <row r="542" spans="1:20">
      <c r="A542">
        <v>5</v>
      </c>
      <c r="B542" t="s">
        <v>589</v>
      </c>
      <c r="C542" t="s">
        <v>17</v>
      </c>
      <c r="D542" s="9" t="s">
        <v>107</v>
      </c>
      <c r="E542" s="9" t="s">
        <v>57</v>
      </c>
      <c r="F542" s="9">
        <v>378878</v>
      </c>
      <c r="G542" s="9" t="s">
        <v>560</v>
      </c>
      <c r="H542" s="9" t="s">
        <v>875</v>
      </c>
      <c r="I542" s="9">
        <v>10</v>
      </c>
      <c r="J542" s="9"/>
      <c r="K542" s="9">
        <v>2024</v>
      </c>
      <c r="L542" t="s">
        <v>27</v>
      </c>
      <c r="M542" s="9">
        <v>18186144</v>
      </c>
      <c r="N542" s="9" t="s">
        <v>888</v>
      </c>
      <c r="O542" s="9"/>
      <c r="P542" s="10">
        <v>46178</v>
      </c>
      <c r="Q542" s="9" t="s">
        <v>624</v>
      </c>
      <c r="R542" s="9"/>
      <c r="S542" s="9"/>
      <c r="T542" s="9"/>
    </row>
    <row r="543" spans="1:20" ht="15">
      <c r="A543">
        <v>5</v>
      </c>
      <c r="B543" t="s">
        <v>589</v>
      </c>
      <c r="C543" t="s">
        <v>17</v>
      </c>
      <c r="D543" s="9" t="s">
        <v>109</v>
      </c>
      <c r="E543" s="9" t="s">
        <v>57</v>
      </c>
      <c r="F543" s="9">
        <v>55.83</v>
      </c>
      <c r="G543" s="9" t="s">
        <v>30</v>
      </c>
      <c r="H543" s="9" t="s">
        <v>875</v>
      </c>
      <c r="I543" s="9">
        <v>10</v>
      </c>
      <c r="J543" s="9"/>
      <c r="K543" s="9">
        <v>2024</v>
      </c>
      <c r="L543" s="13" t="s">
        <v>775</v>
      </c>
      <c r="M543" s="9">
        <v>55.83</v>
      </c>
      <c r="N543" s="9" t="s">
        <v>889</v>
      </c>
      <c r="O543" s="9"/>
      <c r="P543" s="10">
        <v>46178</v>
      </c>
      <c r="Q543" s="9" t="s">
        <v>624</v>
      </c>
      <c r="R543" s="9"/>
      <c r="S543" s="9"/>
      <c r="T543" s="9"/>
    </row>
    <row r="544" spans="1:20" ht="15">
      <c r="A544">
        <v>5</v>
      </c>
      <c r="B544" t="s">
        <v>589</v>
      </c>
      <c r="C544" t="s">
        <v>17</v>
      </c>
      <c r="D544" s="9" t="s">
        <v>738</v>
      </c>
      <c r="E544" s="9" t="s">
        <v>57</v>
      </c>
      <c r="F544" s="9">
        <v>278766</v>
      </c>
      <c r="G544" s="9" t="s">
        <v>560</v>
      </c>
      <c r="H544" s="9" t="s">
        <v>875</v>
      </c>
      <c r="I544" s="9">
        <v>10</v>
      </c>
      <c r="J544" s="9"/>
      <c r="K544" s="9">
        <v>2024</v>
      </c>
      <c r="L544" s="13" t="s">
        <v>821</v>
      </c>
      <c r="M544" s="9">
        <v>13380768</v>
      </c>
      <c r="N544" s="9" t="s">
        <v>890</v>
      </c>
      <c r="O544" s="9"/>
      <c r="P544" s="10">
        <v>46178</v>
      </c>
      <c r="Q544" s="9" t="s">
        <v>624</v>
      </c>
      <c r="R544" s="9"/>
      <c r="S544" s="9"/>
      <c r="T544" s="9"/>
    </row>
    <row r="545" spans="1:20" ht="15">
      <c r="A545">
        <v>5</v>
      </c>
      <c r="B545" t="s">
        <v>589</v>
      </c>
      <c r="C545" t="s">
        <v>17</v>
      </c>
      <c r="D545" s="9" t="s">
        <v>781</v>
      </c>
      <c r="E545" s="9" t="s">
        <v>57</v>
      </c>
      <c r="F545" s="9">
        <v>41.08</v>
      </c>
      <c r="G545" s="9" t="s">
        <v>30</v>
      </c>
      <c r="H545" s="9" t="s">
        <v>875</v>
      </c>
      <c r="I545" s="9">
        <v>10</v>
      </c>
      <c r="J545" s="9"/>
      <c r="K545" s="9">
        <v>2024</v>
      </c>
      <c r="L545" s="13" t="s">
        <v>822</v>
      </c>
      <c r="M545" s="9">
        <v>41.08</v>
      </c>
      <c r="N545" s="9" t="s">
        <v>891</v>
      </c>
      <c r="O545" s="9"/>
      <c r="P545" s="10">
        <v>46178</v>
      </c>
      <c r="Q545" s="9" t="s">
        <v>624</v>
      </c>
      <c r="R545" s="9"/>
      <c r="S545" s="9"/>
      <c r="T545" s="9"/>
    </row>
    <row r="546" spans="1:20">
      <c r="A546">
        <v>5</v>
      </c>
      <c r="B546" t="s">
        <v>589</v>
      </c>
      <c r="C546" t="s">
        <v>17</v>
      </c>
      <c r="D546" s="9" t="s">
        <v>111</v>
      </c>
      <c r="E546" s="9" t="s">
        <v>57</v>
      </c>
      <c r="F546" s="9">
        <v>100111</v>
      </c>
      <c r="G546" s="9" t="s">
        <v>560</v>
      </c>
      <c r="H546" s="9" t="s">
        <v>875</v>
      </c>
      <c r="I546" s="9">
        <v>10</v>
      </c>
      <c r="J546" s="9"/>
      <c r="K546" s="9">
        <v>2024</v>
      </c>
      <c r="L546" t="s">
        <v>35</v>
      </c>
      <c r="M546" s="9">
        <v>4805328</v>
      </c>
      <c r="N546" s="9" t="s">
        <v>892</v>
      </c>
      <c r="O546" s="9"/>
      <c r="P546" s="10">
        <v>46178</v>
      </c>
      <c r="Q546" s="9" t="s">
        <v>624</v>
      </c>
      <c r="R546" s="9"/>
      <c r="S546" s="9"/>
      <c r="T546" s="9"/>
    </row>
    <row r="547" spans="1:20" ht="15">
      <c r="A547">
        <v>5</v>
      </c>
      <c r="B547" t="s">
        <v>589</v>
      </c>
      <c r="C547" t="s">
        <v>17</v>
      </c>
      <c r="D547" s="9" t="s">
        <v>113</v>
      </c>
      <c r="E547" s="9" t="s">
        <v>57</v>
      </c>
      <c r="F547" s="9">
        <v>14.75</v>
      </c>
      <c r="G547" s="9" t="s">
        <v>30</v>
      </c>
      <c r="H547" s="9" t="s">
        <v>875</v>
      </c>
      <c r="I547" s="9">
        <v>10</v>
      </c>
      <c r="J547" s="9"/>
      <c r="K547" s="9">
        <v>2024</v>
      </c>
      <c r="L547" s="13" t="s">
        <v>820</v>
      </c>
      <c r="M547" s="9">
        <v>14.75</v>
      </c>
      <c r="N547" s="9" t="s">
        <v>893</v>
      </c>
      <c r="O547" s="9"/>
      <c r="P547" s="10">
        <v>46178</v>
      </c>
      <c r="Q547" s="9" t="s">
        <v>624</v>
      </c>
      <c r="R547" s="9"/>
      <c r="S547" s="9"/>
      <c r="T547" s="9"/>
    </row>
    <row r="548" spans="1:20" ht="15">
      <c r="A548">
        <v>5</v>
      </c>
      <c r="B548" t="s">
        <v>589</v>
      </c>
      <c r="C548" t="s">
        <v>17</v>
      </c>
      <c r="D548" s="9" t="s">
        <v>149</v>
      </c>
      <c r="E548" s="9" t="s">
        <v>57</v>
      </c>
      <c r="F548" s="9">
        <v>63944</v>
      </c>
      <c r="G548" s="9" t="s">
        <v>560</v>
      </c>
      <c r="H548" s="9" t="s">
        <v>875</v>
      </c>
      <c r="I548" s="9">
        <v>10</v>
      </c>
      <c r="J548" s="9"/>
      <c r="K548" s="9">
        <v>2024</v>
      </c>
      <c r="L548" s="13" t="s">
        <v>776</v>
      </c>
      <c r="M548" s="9">
        <v>3069312</v>
      </c>
      <c r="N548" s="9" t="s">
        <v>894</v>
      </c>
      <c r="O548" s="9"/>
      <c r="P548" s="10">
        <v>46178</v>
      </c>
      <c r="Q548" s="9" t="s">
        <v>624</v>
      </c>
      <c r="R548" s="9"/>
      <c r="S548" s="9"/>
      <c r="T548" s="9"/>
    </row>
    <row r="549" spans="1:20" s="93" customFormat="1" ht="15">
      <c r="A549" s="92">
        <v>25</v>
      </c>
      <c r="B549" s="93" t="s">
        <v>1158</v>
      </c>
      <c r="C549" s="92" t="s">
        <v>898</v>
      </c>
      <c r="D549" s="92" t="s">
        <v>981</v>
      </c>
      <c r="E549" s="92" t="s">
        <v>982</v>
      </c>
      <c r="F549" s="92">
        <v>3400.5</v>
      </c>
      <c r="G549" s="92" t="s">
        <v>983</v>
      </c>
      <c r="H549" s="92" t="s">
        <v>1011</v>
      </c>
      <c r="I549" s="92" t="s">
        <v>1012</v>
      </c>
      <c r="J549" s="92"/>
      <c r="K549" s="92">
        <v>2025</v>
      </c>
      <c r="L549" s="94" t="s">
        <v>1026</v>
      </c>
      <c r="M549" s="93">
        <v>163224000</v>
      </c>
      <c r="N549" s="93" t="s">
        <v>1315</v>
      </c>
      <c r="P549" s="92"/>
      <c r="Q549" s="92"/>
      <c r="R549" s="92"/>
      <c r="S549" s="92"/>
      <c r="T549" s="92"/>
    </row>
    <row r="550" spans="1:20" s="93" customFormat="1" ht="15">
      <c r="A550" s="92">
        <v>25</v>
      </c>
      <c r="B550" s="93" t="s">
        <v>1158</v>
      </c>
      <c r="C550" s="92" t="s">
        <v>898</v>
      </c>
      <c r="D550" s="92" t="s">
        <v>984</v>
      </c>
      <c r="E550" s="92" t="s">
        <v>982</v>
      </c>
      <c r="F550" s="92">
        <v>573.4</v>
      </c>
      <c r="G550" s="92" t="s">
        <v>983</v>
      </c>
      <c r="H550" s="92" t="s">
        <v>1013</v>
      </c>
      <c r="I550" s="92" t="s">
        <v>1012</v>
      </c>
      <c r="J550" s="92"/>
      <c r="K550" s="92">
        <v>2025</v>
      </c>
      <c r="L550" s="94" t="s">
        <v>1027</v>
      </c>
      <c r="M550" s="93">
        <v>27523200</v>
      </c>
      <c r="N550" s="93" t="s">
        <v>1315</v>
      </c>
      <c r="P550" s="92"/>
      <c r="Q550" s="92"/>
      <c r="R550" s="92"/>
      <c r="S550" s="92"/>
      <c r="T550" s="92"/>
    </row>
    <row r="551" spans="1:20" s="93" customFormat="1" ht="15">
      <c r="A551" s="92">
        <v>25</v>
      </c>
      <c r="B551" s="93" t="s">
        <v>1158</v>
      </c>
      <c r="C551" s="92" t="s">
        <v>898</v>
      </c>
      <c r="D551" s="92" t="s">
        <v>113</v>
      </c>
      <c r="E551" s="92" t="s">
        <v>982</v>
      </c>
      <c r="F551" s="92">
        <v>16.862226140000001</v>
      </c>
      <c r="G551" s="92" t="s">
        <v>30</v>
      </c>
      <c r="H551" s="92" t="s">
        <v>1014</v>
      </c>
      <c r="I551" s="92" t="s">
        <v>1012</v>
      </c>
      <c r="J551" s="92"/>
      <c r="K551" s="92">
        <v>2025</v>
      </c>
      <c r="L551" s="94" t="s">
        <v>1028</v>
      </c>
      <c r="M551" s="93">
        <v>16.862226140000001</v>
      </c>
      <c r="N551" s="93" t="s">
        <v>1030</v>
      </c>
      <c r="P551" s="92"/>
      <c r="Q551" s="92"/>
      <c r="R551" s="92"/>
      <c r="S551" s="92"/>
      <c r="T551" s="92"/>
    </row>
    <row r="552" spans="1:20" s="93" customFormat="1">
      <c r="A552" s="92">
        <v>25</v>
      </c>
      <c r="B552" s="93" t="s">
        <v>1158</v>
      </c>
      <c r="C552" s="92" t="s">
        <v>898</v>
      </c>
      <c r="D552" s="92" t="s">
        <v>985</v>
      </c>
      <c r="E552" s="92" t="s">
        <v>982</v>
      </c>
      <c r="F552" s="92">
        <v>650.5</v>
      </c>
      <c r="G552" s="92" t="s">
        <v>983</v>
      </c>
      <c r="H552" s="92" t="s">
        <v>1015</v>
      </c>
      <c r="I552" s="92" t="s">
        <v>1012</v>
      </c>
      <c r="J552" s="92"/>
      <c r="K552" s="92">
        <v>2025</v>
      </c>
      <c r="L552" s="92"/>
      <c r="M552" s="93">
        <v>31224000</v>
      </c>
      <c r="N552" s="93" t="s">
        <v>1315</v>
      </c>
      <c r="P552" s="92"/>
      <c r="Q552" s="92"/>
      <c r="R552" s="92"/>
      <c r="S552" s="92"/>
      <c r="T552" s="92"/>
    </row>
    <row r="553" spans="1:20" s="93" customFormat="1" ht="15">
      <c r="A553" s="92">
        <v>25</v>
      </c>
      <c r="B553" s="93" t="s">
        <v>1158</v>
      </c>
      <c r="C553" s="92" t="s">
        <v>898</v>
      </c>
      <c r="D553" s="92" t="s">
        <v>986</v>
      </c>
      <c r="E553" s="92" t="s">
        <v>982</v>
      </c>
      <c r="F553" s="92">
        <v>433</v>
      </c>
      <c r="G553" s="92" t="s">
        <v>983</v>
      </c>
      <c r="H553" s="92" t="s">
        <v>1016</v>
      </c>
      <c r="I553" s="92" t="s">
        <v>1012</v>
      </c>
      <c r="J553" s="92"/>
      <c r="K553" s="92">
        <v>2025</v>
      </c>
      <c r="L553" s="94" t="s">
        <v>1029</v>
      </c>
      <c r="M553" s="93">
        <v>20784000</v>
      </c>
      <c r="N553" s="93" t="s">
        <v>1315</v>
      </c>
      <c r="P553" s="92"/>
      <c r="Q553" s="92"/>
      <c r="R553" s="92"/>
      <c r="S553" s="92"/>
      <c r="T553" s="92"/>
    </row>
    <row r="554" spans="1:20" s="93" customFormat="1" ht="15">
      <c r="A554" s="92">
        <v>25</v>
      </c>
      <c r="B554" s="93" t="s">
        <v>1158</v>
      </c>
      <c r="C554" s="92" t="s">
        <v>898</v>
      </c>
      <c r="D554" s="92" t="s">
        <v>981</v>
      </c>
      <c r="E554" s="92" t="s">
        <v>987</v>
      </c>
      <c r="F554" s="92">
        <v>3102.8</v>
      </c>
      <c r="G554" s="92" t="s">
        <v>983</v>
      </c>
      <c r="H554" s="92" t="s">
        <v>1017</v>
      </c>
      <c r="I554" s="92" t="s">
        <v>1012</v>
      </c>
      <c r="J554" s="92"/>
      <c r="K554" s="92">
        <v>2024</v>
      </c>
      <c r="L554" s="94" t="s">
        <v>1026</v>
      </c>
      <c r="M554" s="93">
        <v>148934400</v>
      </c>
      <c r="N554" s="93" t="s">
        <v>1315</v>
      </c>
      <c r="P554" s="92"/>
      <c r="Q554" s="92"/>
      <c r="R554" s="92"/>
      <c r="S554" s="92"/>
      <c r="T554" s="92"/>
    </row>
    <row r="555" spans="1:20" s="93" customFormat="1" ht="15">
      <c r="A555" s="92">
        <v>25</v>
      </c>
      <c r="B555" s="93" t="s">
        <v>1158</v>
      </c>
      <c r="C555" s="92" t="s">
        <v>898</v>
      </c>
      <c r="D555" s="92" t="s">
        <v>984</v>
      </c>
      <c r="E555" s="92" t="s">
        <v>987</v>
      </c>
      <c r="F555" s="92">
        <v>500.8</v>
      </c>
      <c r="G555" s="92" t="s">
        <v>983</v>
      </c>
      <c r="H555" s="92" t="s">
        <v>1018</v>
      </c>
      <c r="I555" s="92" t="s">
        <v>1012</v>
      </c>
      <c r="J555" s="92"/>
      <c r="K555" s="92">
        <v>2024</v>
      </c>
      <c r="L555" s="94" t="s">
        <v>1027</v>
      </c>
      <c r="M555" s="93">
        <v>24038400</v>
      </c>
      <c r="N555" s="93" t="s">
        <v>1315</v>
      </c>
      <c r="P555" s="92"/>
      <c r="Q555" s="92"/>
      <c r="R555" s="92"/>
      <c r="S555" s="92"/>
      <c r="T555" s="92"/>
    </row>
    <row r="556" spans="1:20" s="93" customFormat="1" ht="15">
      <c r="A556" s="92">
        <v>25</v>
      </c>
      <c r="B556" s="93" t="s">
        <v>1158</v>
      </c>
      <c r="C556" s="92" t="s">
        <v>898</v>
      </c>
      <c r="D556" s="92" t="s">
        <v>113</v>
      </c>
      <c r="E556" s="92" t="s">
        <v>987</v>
      </c>
      <c r="F556" s="92">
        <v>16.14026041</v>
      </c>
      <c r="G556" s="92" t="s">
        <v>30</v>
      </c>
      <c r="H556" s="92" t="s">
        <v>1019</v>
      </c>
      <c r="I556" s="92" t="s">
        <v>1012</v>
      </c>
      <c r="J556" s="92"/>
      <c r="K556" s="92">
        <v>2024</v>
      </c>
      <c r="L556" s="94" t="s">
        <v>1028</v>
      </c>
      <c r="M556" s="93">
        <v>16.14026041</v>
      </c>
      <c r="N556" s="93" t="s">
        <v>1034</v>
      </c>
      <c r="P556" s="92"/>
      <c r="Q556" s="92"/>
      <c r="R556" s="92"/>
      <c r="S556" s="92"/>
      <c r="T556" s="92"/>
    </row>
    <row r="557" spans="1:20" s="93" customFormat="1">
      <c r="A557" s="92">
        <v>25</v>
      </c>
      <c r="B557" s="93" t="s">
        <v>1158</v>
      </c>
      <c r="C557" s="92" t="s">
        <v>898</v>
      </c>
      <c r="D557" s="92" t="s">
        <v>985</v>
      </c>
      <c r="E557" s="92" t="s">
        <v>987</v>
      </c>
      <c r="F557" s="92">
        <v>557.20000000000005</v>
      </c>
      <c r="G557" s="92" t="s">
        <v>983</v>
      </c>
      <c r="H557" s="92" t="s">
        <v>1020</v>
      </c>
      <c r="I557" s="92" t="s">
        <v>1012</v>
      </c>
      <c r="J557" s="92"/>
      <c r="K557" s="92">
        <v>2024</v>
      </c>
      <c r="L557" s="92"/>
      <c r="M557" s="93">
        <v>26745600</v>
      </c>
      <c r="N557" s="93" t="s">
        <v>1315</v>
      </c>
      <c r="P557" s="92"/>
      <c r="Q557" s="92"/>
      <c r="R557" s="92"/>
      <c r="S557" s="92"/>
      <c r="T557" s="92"/>
    </row>
    <row r="558" spans="1:20" s="93" customFormat="1" ht="15">
      <c r="A558" s="92">
        <v>25</v>
      </c>
      <c r="B558" s="93" t="s">
        <v>1158</v>
      </c>
      <c r="C558" s="92" t="s">
        <v>898</v>
      </c>
      <c r="D558" s="92" t="s">
        <v>986</v>
      </c>
      <c r="E558" s="92" t="s">
        <v>987</v>
      </c>
      <c r="F558" s="92">
        <v>372</v>
      </c>
      <c r="G558" s="92" t="s">
        <v>983</v>
      </c>
      <c r="H558" s="92" t="s">
        <v>1021</v>
      </c>
      <c r="I558" s="92" t="s">
        <v>1012</v>
      </c>
      <c r="J558" s="92"/>
      <c r="K558" s="92">
        <v>2024</v>
      </c>
      <c r="L558" s="94" t="s">
        <v>1029</v>
      </c>
      <c r="M558" s="93">
        <v>17856000</v>
      </c>
      <c r="N558" s="93" t="s">
        <v>1315</v>
      </c>
      <c r="P558" s="92"/>
      <c r="Q558" s="92"/>
      <c r="R558" s="92"/>
      <c r="S558" s="92"/>
      <c r="T558" s="92"/>
    </row>
    <row r="559" spans="1:20" s="93" customFormat="1" ht="15">
      <c r="A559" s="92">
        <v>25</v>
      </c>
      <c r="B559" s="93" t="s">
        <v>1158</v>
      </c>
      <c r="C559" s="92" t="s">
        <v>898</v>
      </c>
      <c r="D559" s="92" t="s">
        <v>981</v>
      </c>
      <c r="E559" s="92" t="s">
        <v>988</v>
      </c>
      <c r="F559" s="92">
        <v>2766.5</v>
      </c>
      <c r="G559" s="92" t="s">
        <v>983</v>
      </c>
      <c r="H559" s="92" t="s">
        <v>1022</v>
      </c>
      <c r="I559" s="92" t="s">
        <v>1012</v>
      </c>
      <c r="J559" s="92"/>
      <c r="K559" s="92">
        <v>2023</v>
      </c>
      <c r="L559" s="94" t="s">
        <v>1026</v>
      </c>
      <c r="M559" s="93">
        <v>132792000</v>
      </c>
      <c r="N559" s="93" t="s">
        <v>1315</v>
      </c>
      <c r="P559" s="92"/>
      <c r="Q559" s="92"/>
      <c r="R559" s="92"/>
      <c r="S559" s="92"/>
      <c r="T559" s="92"/>
    </row>
    <row r="560" spans="1:20" s="93" customFormat="1" ht="15">
      <c r="A560" s="92">
        <v>25</v>
      </c>
      <c r="B560" s="93" t="s">
        <v>1158</v>
      </c>
      <c r="C560" s="92" t="s">
        <v>898</v>
      </c>
      <c r="D560" s="92" t="s">
        <v>984</v>
      </c>
      <c r="E560" s="92" t="s">
        <v>988</v>
      </c>
      <c r="F560" s="92">
        <v>383.6</v>
      </c>
      <c r="G560" s="92" t="s">
        <v>983</v>
      </c>
      <c r="H560" s="92" t="s">
        <v>1023</v>
      </c>
      <c r="I560" s="92" t="s">
        <v>1012</v>
      </c>
      <c r="J560" s="92"/>
      <c r="K560" s="92">
        <v>2023</v>
      </c>
      <c r="L560" s="94" t="s">
        <v>1027</v>
      </c>
      <c r="M560" s="93">
        <v>18412800</v>
      </c>
      <c r="N560" s="93" t="s">
        <v>1315</v>
      </c>
      <c r="P560" s="92"/>
      <c r="Q560" s="92"/>
      <c r="R560" s="92"/>
      <c r="S560" s="92"/>
      <c r="T560" s="92"/>
    </row>
    <row r="561" spans="1:20" s="93" customFormat="1" ht="15">
      <c r="A561" s="92">
        <v>25</v>
      </c>
      <c r="B561" s="93" t="s">
        <v>1158</v>
      </c>
      <c r="C561" s="92" t="s">
        <v>898</v>
      </c>
      <c r="D561" s="92" t="s">
        <v>113</v>
      </c>
      <c r="E561" s="92" t="s">
        <v>988</v>
      </c>
      <c r="F561" s="92">
        <v>13.86589554</v>
      </c>
      <c r="G561" s="92" t="s">
        <v>30</v>
      </c>
      <c r="H561" s="92" t="s">
        <v>1024</v>
      </c>
      <c r="I561" s="92" t="s">
        <v>1012</v>
      </c>
      <c r="J561" s="92"/>
      <c r="K561" s="92">
        <v>2023</v>
      </c>
      <c r="L561" s="94" t="s">
        <v>1028</v>
      </c>
      <c r="M561" s="93">
        <v>13.86589554</v>
      </c>
      <c r="N561" s="93" t="s">
        <v>1035</v>
      </c>
      <c r="P561" s="92"/>
      <c r="Q561" s="92"/>
      <c r="R561" s="92"/>
      <c r="S561" s="92"/>
      <c r="T561" s="92"/>
    </row>
    <row r="562" spans="1:20" s="93" customFormat="1" ht="15">
      <c r="A562" s="92">
        <v>25</v>
      </c>
      <c r="B562" s="93" t="s">
        <v>1158</v>
      </c>
      <c r="C562" s="92" t="s">
        <v>898</v>
      </c>
      <c r="D562" s="92" t="s">
        <v>986</v>
      </c>
      <c r="E562" s="92" t="s">
        <v>988</v>
      </c>
      <c r="F562" s="92">
        <v>272.89999999999998</v>
      </c>
      <c r="G562" s="92" t="s">
        <v>983</v>
      </c>
      <c r="H562" s="92" t="s">
        <v>1025</v>
      </c>
      <c r="I562" s="92" t="s">
        <v>1012</v>
      </c>
      <c r="J562" s="92"/>
      <c r="K562" s="92">
        <v>2023</v>
      </c>
      <c r="L562" s="94" t="s">
        <v>1029</v>
      </c>
      <c r="M562" s="93">
        <v>13099200</v>
      </c>
      <c r="N562" s="93" t="s">
        <v>1315</v>
      </c>
      <c r="P562" s="92"/>
      <c r="Q562" s="92"/>
      <c r="R562" s="92"/>
      <c r="S562" s="92"/>
      <c r="T562" s="92"/>
    </row>
    <row r="563" spans="1:20" s="93" customFormat="1" ht="15">
      <c r="A563" s="92">
        <v>25</v>
      </c>
      <c r="B563" s="93" t="s">
        <v>1158</v>
      </c>
      <c r="C563" s="94" t="s">
        <v>1008</v>
      </c>
      <c r="D563" s="92" t="s">
        <v>981</v>
      </c>
      <c r="E563" s="92" t="s">
        <v>982</v>
      </c>
      <c r="F563" s="92">
        <v>650.20000000000005</v>
      </c>
      <c r="G563" s="92" t="s">
        <v>983</v>
      </c>
      <c r="H563" s="92" t="s">
        <v>1011</v>
      </c>
      <c r="I563" s="92">
        <v>44</v>
      </c>
      <c r="J563" s="92"/>
      <c r="K563" s="92">
        <v>2025</v>
      </c>
      <c r="L563" s="94" t="s">
        <v>1026</v>
      </c>
      <c r="M563" s="93">
        <v>31209600</v>
      </c>
      <c r="N563" s="93" t="s">
        <v>1315</v>
      </c>
      <c r="P563" s="92"/>
      <c r="Q563" s="92"/>
      <c r="R563" s="92"/>
      <c r="S563" s="92"/>
      <c r="T563" s="92"/>
    </row>
    <row r="564" spans="1:20" s="93" customFormat="1" ht="15">
      <c r="A564" s="92">
        <v>25</v>
      </c>
      <c r="B564" s="93" t="s">
        <v>1158</v>
      </c>
      <c r="C564" s="94" t="s">
        <v>1008</v>
      </c>
      <c r="D564" s="92" t="s">
        <v>990</v>
      </c>
      <c r="E564" s="92" t="s">
        <v>982</v>
      </c>
      <c r="F564" s="92">
        <v>89.9</v>
      </c>
      <c r="G564" s="92" t="s">
        <v>983</v>
      </c>
      <c r="H564" s="92" t="s">
        <v>989</v>
      </c>
      <c r="I564" s="92">
        <v>44</v>
      </c>
      <c r="J564" s="92"/>
      <c r="K564" s="92">
        <v>2025</v>
      </c>
      <c r="L564" s="92"/>
      <c r="M564" s="93">
        <v>4315200</v>
      </c>
      <c r="N564" s="93" t="s">
        <v>1315</v>
      </c>
      <c r="P564" s="92"/>
      <c r="Q564" s="92"/>
      <c r="R564" s="92"/>
      <c r="S564" s="92"/>
      <c r="T564" s="92"/>
    </row>
    <row r="565" spans="1:20" s="93" customFormat="1" ht="15">
      <c r="A565" s="92">
        <v>25</v>
      </c>
      <c r="B565" s="93" t="s">
        <v>1158</v>
      </c>
      <c r="C565" s="94" t="s">
        <v>1008</v>
      </c>
      <c r="D565" s="92" t="s">
        <v>984</v>
      </c>
      <c r="E565" s="92" t="s">
        <v>982</v>
      </c>
      <c r="F565" s="92">
        <v>92.6</v>
      </c>
      <c r="G565" s="92" t="s">
        <v>983</v>
      </c>
      <c r="H565" s="92" t="s">
        <v>989</v>
      </c>
      <c r="I565" s="92">
        <v>44</v>
      </c>
      <c r="J565" s="92"/>
      <c r="K565" s="92">
        <v>2025</v>
      </c>
      <c r="L565" s="94" t="s">
        <v>1027</v>
      </c>
      <c r="M565" s="93">
        <v>4444800</v>
      </c>
      <c r="N565" s="93" t="s">
        <v>1315</v>
      </c>
      <c r="P565" s="92"/>
      <c r="Q565" s="92"/>
      <c r="R565" s="92"/>
      <c r="S565" s="92"/>
      <c r="T565" s="92"/>
    </row>
    <row r="566" spans="1:20" s="93" customFormat="1" ht="15">
      <c r="A566" s="92">
        <v>25</v>
      </c>
      <c r="B566" s="93" t="s">
        <v>1158</v>
      </c>
      <c r="C566" s="94" t="s">
        <v>1008</v>
      </c>
      <c r="D566" s="92" t="s">
        <v>991</v>
      </c>
      <c r="E566" s="92" t="s">
        <v>982</v>
      </c>
      <c r="F566" s="92">
        <v>13.826514919999999</v>
      </c>
      <c r="G566" s="92" t="s">
        <v>30</v>
      </c>
      <c r="H566" s="92" t="s">
        <v>992</v>
      </c>
      <c r="I566" s="92"/>
      <c r="J566" s="92"/>
      <c r="K566" s="92">
        <v>2025</v>
      </c>
      <c r="L566" s="94" t="s">
        <v>1028</v>
      </c>
      <c r="M566" s="93">
        <v>13.826514919999999</v>
      </c>
      <c r="N566" s="93" t="s">
        <v>1031</v>
      </c>
      <c r="P566" s="92"/>
      <c r="Q566" s="92"/>
      <c r="R566" s="92"/>
      <c r="S566" s="92"/>
      <c r="T566" s="92"/>
    </row>
    <row r="567" spans="1:20" s="93" customFormat="1" ht="15">
      <c r="A567" s="92">
        <v>25</v>
      </c>
      <c r="B567" s="93" t="s">
        <v>1158</v>
      </c>
      <c r="C567" s="94" t="s">
        <v>1008</v>
      </c>
      <c r="D567" s="92" t="s">
        <v>993</v>
      </c>
      <c r="E567" s="92" t="s">
        <v>982</v>
      </c>
      <c r="F567" s="92">
        <v>1008</v>
      </c>
      <c r="G567" s="92" t="s">
        <v>994</v>
      </c>
      <c r="H567" s="92" t="s">
        <v>992</v>
      </c>
      <c r="I567" s="92"/>
      <c r="J567" s="92"/>
      <c r="K567" s="92">
        <v>2025</v>
      </c>
      <c r="L567" s="94" t="s">
        <v>1036</v>
      </c>
      <c r="M567" s="93">
        <v>1008</v>
      </c>
      <c r="N567" s="93" t="s">
        <v>1032</v>
      </c>
      <c r="P567" s="92"/>
      <c r="Q567" s="92"/>
      <c r="R567" s="92"/>
      <c r="S567" s="92"/>
      <c r="T567" s="92"/>
    </row>
    <row r="568" spans="1:20" s="93" customFormat="1" ht="15">
      <c r="A568" s="92">
        <v>25</v>
      </c>
      <c r="B568" s="93" t="s">
        <v>1158</v>
      </c>
      <c r="C568" s="94" t="s">
        <v>1008</v>
      </c>
      <c r="D568" s="92" t="s">
        <v>995</v>
      </c>
      <c r="E568" s="92" t="s">
        <v>982</v>
      </c>
      <c r="F568" s="92">
        <v>20</v>
      </c>
      <c r="G568" s="92" t="s">
        <v>30</v>
      </c>
      <c r="H568" s="92" t="s">
        <v>992</v>
      </c>
      <c r="I568" s="92"/>
      <c r="J568" s="92"/>
      <c r="K568" s="92">
        <v>2025</v>
      </c>
      <c r="L568" s="94" t="s">
        <v>1037</v>
      </c>
      <c r="M568" s="93">
        <v>20</v>
      </c>
      <c r="N568" s="93" t="s">
        <v>1033</v>
      </c>
      <c r="P568" s="92"/>
      <c r="Q568" s="92"/>
      <c r="R568" s="92"/>
      <c r="S568" s="92"/>
      <c r="T568" s="92"/>
    </row>
    <row r="569" spans="1:20" ht="15">
      <c r="A569" s="9">
        <v>26</v>
      </c>
      <c r="B569" t="s">
        <v>1159</v>
      </c>
      <c r="C569" s="13" t="s">
        <v>1010</v>
      </c>
      <c r="D569" s="9" t="s">
        <v>981</v>
      </c>
      <c r="E569" s="9" t="s">
        <v>996</v>
      </c>
      <c r="F569" s="9">
        <v>4708</v>
      </c>
      <c r="G569" s="9" t="s">
        <v>103</v>
      </c>
      <c r="H569" s="9" t="s">
        <v>997</v>
      </c>
      <c r="I569" s="9"/>
      <c r="J569" s="9"/>
      <c r="K569" s="9">
        <v>2024</v>
      </c>
      <c r="L569" s="13" t="s">
        <v>774</v>
      </c>
      <c r="M569" s="11">
        <v>36722400</v>
      </c>
      <c r="N569" s="12" t="s">
        <v>1053</v>
      </c>
      <c r="O569" s="9"/>
      <c r="P569" s="9"/>
      <c r="Q569" s="9"/>
      <c r="R569" s="9"/>
      <c r="S569" s="9"/>
      <c r="T569" s="9"/>
    </row>
    <row r="570" spans="1:20" ht="16.5">
      <c r="A570" s="9">
        <v>26</v>
      </c>
      <c r="B570" t="s">
        <v>1159</v>
      </c>
      <c r="C570" s="13" t="s">
        <v>1010</v>
      </c>
      <c r="D570" s="9" t="s">
        <v>981</v>
      </c>
      <c r="E570" s="9" t="s">
        <v>1051</v>
      </c>
      <c r="F570" s="9">
        <v>4796</v>
      </c>
      <c r="G570" s="9" t="s">
        <v>103</v>
      </c>
      <c r="H570" s="9" t="s">
        <v>997</v>
      </c>
      <c r="I570" s="9"/>
      <c r="J570" s="9"/>
      <c r="K570" s="9">
        <v>2023</v>
      </c>
      <c r="L570" s="13" t="s">
        <v>774</v>
      </c>
      <c r="M570" s="11">
        <v>37408800</v>
      </c>
      <c r="N570" s="9" t="s">
        <v>1163</v>
      </c>
      <c r="O570" s="9"/>
      <c r="P570" s="9"/>
      <c r="Q570" s="9"/>
      <c r="R570" s="9"/>
      <c r="S570" s="9"/>
      <c r="T570" s="9"/>
    </row>
    <row r="571" spans="1:20" ht="15">
      <c r="A571" s="9">
        <v>26</v>
      </c>
      <c r="B571" t="s">
        <v>1159</v>
      </c>
      <c r="C571" s="13" t="s">
        <v>1010</v>
      </c>
      <c r="D571" s="9" t="s">
        <v>998</v>
      </c>
      <c r="E571" s="9" t="s">
        <v>996</v>
      </c>
      <c r="F571" s="9">
        <v>1080</v>
      </c>
      <c r="G571" s="9" t="s">
        <v>994</v>
      </c>
      <c r="H571" s="9" t="s">
        <v>999</v>
      </c>
      <c r="I571" s="9"/>
      <c r="J571" s="9"/>
      <c r="K571" s="9">
        <v>2024</v>
      </c>
      <c r="L571" s="13" t="s">
        <v>1036</v>
      </c>
      <c r="M571" s="11">
        <v>1080</v>
      </c>
      <c r="N571" s="9" t="s">
        <v>1054</v>
      </c>
      <c r="O571" s="9"/>
      <c r="P571" s="9"/>
      <c r="Q571" s="9"/>
      <c r="R571" s="9"/>
      <c r="S571" s="9"/>
      <c r="T571" s="9"/>
    </row>
    <row r="572" spans="1:20" ht="15">
      <c r="A572" s="9">
        <v>26</v>
      </c>
      <c r="B572" t="s">
        <v>1159</v>
      </c>
      <c r="C572" s="13" t="s">
        <v>1010</v>
      </c>
      <c r="D572" s="9" t="s">
        <v>981</v>
      </c>
      <c r="E572" s="9" t="s">
        <v>1000</v>
      </c>
      <c r="F572" s="9">
        <v>4796</v>
      </c>
      <c r="G572" s="9" t="s">
        <v>103</v>
      </c>
      <c r="H572" s="9" t="s">
        <v>997</v>
      </c>
      <c r="I572" s="9"/>
      <c r="J572" s="9"/>
      <c r="K572" s="9">
        <v>2024</v>
      </c>
      <c r="L572" s="13" t="s">
        <v>1026</v>
      </c>
      <c r="M572" s="11">
        <v>37408800</v>
      </c>
      <c r="N572" s="9" t="s">
        <v>1064</v>
      </c>
      <c r="O572" s="9"/>
      <c r="P572" s="9"/>
      <c r="Q572" s="9"/>
      <c r="R572" s="9"/>
      <c r="S572" s="9"/>
      <c r="T572" s="9"/>
    </row>
    <row r="573" spans="1:20" ht="15">
      <c r="A573" s="9">
        <v>26</v>
      </c>
      <c r="B573" t="s">
        <v>1159</v>
      </c>
      <c r="C573" s="9" t="s">
        <v>898</v>
      </c>
      <c r="D573" s="9" t="s">
        <v>981</v>
      </c>
      <c r="E573" s="9" t="s">
        <v>996</v>
      </c>
      <c r="F573" s="9">
        <v>38632</v>
      </c>
      <c r="G573" s="9" t="s">
        <v>103</v>
      </c>
      <c r="H573" s="9" t="s">
        <v>999</v>
      </c>
      <c r="I573" s="9"/>
      <c r="J573" s="9"/>
      <c r="K573" s="9">
        <v>2024</v>
      </c>
      <c r="L573" s="13" t="s">
        <v>1026</v>
      </c>
      <c r="M573" s="11">
        <v>301329600</v>
      </c>
      <c r="N573" s="9" t="s">
        <v>1055</v>
      </c>
      <c r="O573" s="9"/>
      <c r="P573" s="9"/>
      <c r="Q573" s="9"/>
      <c r="R573" s="9"/>
      <c r="S573" s="9"/>
      <c r="T573" s="9"/>
    </row>
    <row r="574" spans="1:20" ht="15">
      <c r="A574" s="9">
        <v>26</v>
      </c>
      <c r="B574" t="s">
        <v>1159</v>
      </c>
      <c r="C574" s="9" t="s">
        <v>898</v>
      </c>
      <c r="D574" s="9" t="s">
        <v>1001</v>
      </c>
      <c r="E574" s="9" t="s">
        <v>996</v>
      </c>
      <c r="F574" s="9">
        <v>22343</v>
      </c>
      <c r="G574" s="9" t="s">
        <v>103</v>
      </c>
      <c r="H574" s="9" t="s">
        <v>999</v>
      </c>
      <c r="I574" s="9"/>
      <c r="J574" s="9"/>
      <c r="K574" s="9">
        <v>2024</v>
      </c>
      <c r="L574" s="13" t="s">
        <v>1038</v>
      </c>
      <c r="M574" s="11">
        <v>174275400</v>
      </c>
      <c r="N574" s="9" t="s">
        <v>1056</v>
      </c>
      <c r="O574" s="9"/>
      <c r="P574" s="9"/>
      <c r="Q574" s="9"/>
      <c r="R574" s="9"/>
      <c r="S574" s="9"/>
      <c r="T574" s="9"/>
    </row>
    <row r="575" spans="1:20" ht="15">
      <c r="A575" s="9">
        <v>26</v>
      </c>
      <c r="B575" t="s">
        <v>1159</v>
      </c>
      <c r="C575" s="9" t="s">
        <v>898</v>
      </c>
      <c r="D575" s="9" t="s">
        <v>1002</v>
      </c>
      <c r="E575" s="9" t="s">
        <v>996</v>
      </c>
      <c r="F575" s="9">
        <v>57.835473180000001</v>
      </c>
      <c r="G575" s="9" t="s">
        <v>30</v>
      </c>
      <c r="H575" s="9" t="s">
        <v>999</v>
      </c>
      <c r="I575" s="9"/>
      <c r="J575" s="9"/>
      <c r="K575" s="9">
        <v>2024</v>
      </c>
      <c r="L575" s="13" t="s">
        <v>1039</v>
      </c>
      <c r="M575" s="11">
        <v>57.835473180000001</v>
      </c>
      <c r="N575" s="9" t="s">
        <v>1057</v>
      </c>
      <c r="O575" s="9"/>
      <c r="P575" s="9"/>
      <c r="Q575" s="9"/>
      <c r="R575" s="9"/>
      <c r="S575" s="9"/>
      <c r="T575" s="9"/>
    </row>
    <row r="576" spans="1:20">
      <c r="A576" s="9">
        <v>26</v>
      </c>
      <c r="B576" t="s">
        <v>1159</v>
      </c>
      <c r="C576" s="9" t="s">
        <v>898</v>
      </c>
      <c r="D576" s="9" t="s">
        <v>1003</v>
      </c>
      <c r="E576" s="9" t="s">
        <v>996</v>
      </c>
      <c r="F576" s="9">
        <v>10728</v>
      </c>
      <c r="G576" s="9" t="s">
        <v>103</v>
      </c>
      <c r="H576" s="9" t="s">
        <v>999</v>
      </c>
      <c r="I576" s="9"/>
      <c r="J576" s="9"/>
      <c r="K576" s="9">
        <v>2024</v>
      </c>
      <c r="L576" s="9"/>
      <c r="M576" s="11">
        <v>83678400</v>
      </c>
      <c r="N576" s="9" t="s">
        <v>1058</v>
      </c>
      <c r="O576" s="9"/>
      <c r="P576" s="9"/>
      <c r="Q576" s="9"/>
      <c r="R576" s="9"/>
      <c r="S576" s="9"/>
      <c r="T576" s="9"/>
    </row>
    <row r="577" spans="1:20">
      <c r="A577" s="9">
        <v>26</v>
      </c>
      <c r="B577" t="s">
        <v>1159</v>
      </c>
      <c r="C577" s="9" t="s">
        <v>898</v>
      </c>
      <c r="D577" s="9" t="s">
        <v>254</v>
      </c>
      <c r="E577" s="9" t="s">
        <v>996</v>
      </c>
      <c r="F577" s="9">
        <v>7554</v>
      </c>
      <c r="G577" s="9" t="s">
        <v>103</v>
      </c>
      <c r="H577" s="9" t="s">
        <v>999</v>
      </c>
      <c r="I577" s="9"/>
      <c r="J577" s="9"/>
      <c r="K577" s="9">
        <v>2024</v>
      </c>
      <c r="L577" s="9"/>
      <c r="M577" s="11">
        <v>58921200</v>
      </c>
      <c r="N577" s="9" t="s">
        <v>1059</v>
      </c>
      <c r="O577" s="9"/>
      <c r="P577" s="9"/>
      <c r="Q577" s="9"/>
      <c r="R577" s="9"/>
      <c r="S577" s="9"/>
      <c r="T577" s="9"/>
    </row>
    <row r="578" spans="1:20">
      <c r="A578" s="9">
        <v>26</v>
      </c>
      <c r="B578" t="s">
        <v>1159</v>
      </c>
      <c r="C578" s="9" t="s">
        <v>898</v>
      </c>
      <c r="D578" s="9" t="s">
        <v>1004</v>
      </c>
      <c r="E578" s="9" t="s">
        <v>996</v>
      </c>
      <c r="F578" s="9">
        <v>19.553737829999999</v>
      </c>
      <c r="G578" s="9" t="s">
        <v>30</v>
      </c>
      <c r="H578" s="9" t="s">
        <v>999</v>
      </c>
      <c r="I578" s="9"/>
      <c r="J578" s="9"/>
      <c r="K578" s="9">
        <v>2024</v>
      </c>
      <c r="L578" s="9"/>
      <c r="M578" s="11">
        <v>19.553737829999999</v>
      </c>
      <c r="N578" s="9" t="s">
        <v>1060</v>
      </c>
      <c r="O578" s="9"/>
      <c r="P578" s="9"/>
      <c r="Q578" s="9"/>
      <c r="R578" s="9"/>
      <c r="S578" s="9"/>
      <c r="T578" s="9"/>
    </row>
    <row r="579" spans="1:20" ht="15">
      <c r="A579" s="9">
        <v>26</v>
      </c>
      <c r="B579" t="s">
        <v>1159</v>
      </c>
      <c r="C579" s="9" t="s">
        <v>898</v>
      </c>
      <c r="D579" s="9" t="s">
        <v>1005</v>
      </c>
      <c r="E579" s="9" t="s">
        <v>996</v>
      </c>
      <c r="F579" s="9">
        <v>5877</v>
      </c>
      <c r="G579" s="9" t="s">
        <v>103</v>
      </c>
      <c r="H579" s="9" t="s">
        <v>999</v>
      </c>
      <c r="I579" s="9"/>
      <c r="J579" s="9"/>
      <c r="K579" s="9">
        <v>2024</v>
      </c>
      <c r="L579" s="13" t="s">
        <v>1029</v>
      </c>
      <c r="M579" s="11">
        <v>45840600</v>
      </c>
      <c r="N579" s="9" t="s">
        <v>1061</v>
      </c>
      <c r="O579" s="9"/>
      <c r="P579" s="9"/>
      <c r="Q579" s="9"/>
      <c r="R579" s="9"/>
      <c r="S579" s="9"/>
      <c r="T579" s="9"/>
    </row>
    <row r="580" spans="1:20" ht="15">
      <c r="A580" s="9">
        <v>26</v>
      </c>
      <c r="B580" t="s">
        <v>1159</v>
      </c>
      <c r="C580" s="9" t="s">
        <v>898</v>
      </c>
      <c r="D580" s="9" t="s">
        <v>1006</v>
      </c>
      <c r="E580" s="9" t="s">
        <v>996</v>
      </c>
      <c r="F580" s="9">
        <v>15.21277697</v>
      </c>
      <c r="G580" s="9" t="s">
        <v>30</v>
      </c>
      <c r="H580" s="9" t="s">
        <v>999</v>
      </c>
      <c r="I580" s="9"/>
      <c r="J580" s="9"/>
      <c r="K580" s="9">
        <v>2024</v>
      </c>
      <c r="L580" s="13" t="s">
        <v>1040</v>
      </c>
      <c r="M580" s="11">
        <v>15.21277697</v>
      </c>
      <c r="N580" s="9" t="s">
        <v>1062</v>
      </c>
      <c r="O580" s="9"/>
      <c r="P580" s="9"/>
      <c r="Q580" s="9"/>
      <c r="R580" s="9"/>
      <c r="S580" s="9"/>
      <c r="T580" s="9"/>
    </row>
    <row r="581" spans="1:20" ht="15">
      <c r="A581" s="9">
        <v>26</v>
      </c>
      <c r="B581" t="s">
        <v>1159</v>
      </c>
      <c r="C581" s="9" t="s">
        <v>898</v>
      </c>
      <c r="D581" s="9" t="s">
        <v>1007</v>
      </c>
      <c r="E581" s="9" t="s">
        <v>996</v>
      </c>
      <c r="F581" s="9">
        <v>5563</v>
      </c>
      <c r="G581" s="9" t="s">
        <v>994</v>
      </c>
      <c r="H581" s="9" t="s">
        <v>999</v>
      </c>
      <c r="I581" s="9"/>
      <c r="J581" s="9"/>
      <c r="K581" s="9">
        <v>2024</v>
      </c>
      <c r="L581" s="13" t="s">
        <v>1036</v>
      </c>
      <c r="M581" s="11">
        <v>5563</v>
      </c>
      <c r="N581" s="9" t="s">
        <v>1063</v>
      </c>
      <c r="O581" s="9"/>
      <c r="P581" s="9"/>
      <c r="Q581" s="9"/>
      <c r="R581" s="9"/>
      <c r="S581" s="9"/>
      <c r="T581" s="9"/>
    </row>
    <row r="582" spans="1:20" ht="15">
      <c r="A582" s="9">
        <v>26</v>
      </c>
      <c r="B582" t="s">
        <v>1159</v>
      </c>
      <c r="C582" s="9" t="s">
        <v>898</v>
      </c>
      <c r="D582" s="9" t="s">
        <v>981</v>
      </c>
      <c r="E582" s="9" t="s">
        <v>1000</v>
      </c>
      <c r="F582" s="9">
        <v>35947</v>
      </c>
      <c r="G582" s="9" t="s">
        <v>103</v>
      </c>
      <c r="H582" s="9" t="s">
        <v>999</v>
      </c>
      <c r="I582" s="9"/>
      <c r="J582" s="9"/>
      <c r="K582" s="9">
        <v>2023</v>
      </c>
      <c r="L582" s="13" t="s">
        <v>1026</v>
      </c>
      <c r="M582" s="11">
        <v>280386600</v>
      </c>
      <c r="N582" s="9" t="s">
        <v>1065</v>
      </c>
      <c r="O582" s="9"/>
      <c r="P582" s="9"/>
      <c r="Q582" s="9"/>
      <c r="R582" s="9"/>
      <c r="S582" s="9"/>
      <c r="T582" s="9"/>
    </row>
    <row r="583" spans="1:20" ht="15">
      <c r="A583" s="9">
        <v>26</v>
      </c>
      <c r="B583" t="s">
        <v>1159</v>
      </c>
      <c r="C583" s="9" t="s">
        <v>898</v>
      </c>
      <c r="D583" s="9" t="s">
        <v>1001</v>
      </c>
      <c r="E583" s="9" t="s">
        <v>1000</v>
      </c>
      <c r="F583" s="9">
        <v>20762</v>
      </c>
      <c r="G583" s="9" t="s">
        <v>103</v>
      </c>
      <c r="H583" s="9" t="s">
        <v>999</v>
      </c>
      <c r="I583" s="9"/>
      <c r="J583" s="9"/>
      <c r="K583" s="9">
        <v>2023</v>
      </c>
      <c r="L583" s="13" t="s">
        <v>1038</v>
      </c>
      <c r="M583" s="11">
        <v>161943600</v>
      </c>
      <c r="N583" s="9" t="s">
        <v>1066</v>
      </c>
      <c r="O583" s="9"/>
      <c r="P583" s="9"/>
      <c r="Q583" s="9"/>
      <c r="R583" s="9"/>
      <c r="S583" s="9"/>
      <c r="T583" s="9"/>
    </row>
    <row r="584" spans="1:20" ht="15">
      <c r="A584" s="9">
        <v>26</v>
      </c>
      <c r="B584" t="s">
        <v>1159</v>
      </c>
      <c r="C584" s="9" t="s">
        <v>898</v>
      </c>
      <c r="D584" s="9" t="s">
        <v>1002</v>
      </c>
      <c r="E584" s="9" t="s">
        <v>1000</v>
      </c>
      <c r="F584" s="9">
        <v>57.757253730000002</v>
      </c>
      <c r="G584" s="9" t="s">
        <v>30</v>
      </c>
      <c r="H584" s="9" t="s">
        <v>999</v>
      </c>
      <c r="I584" s="9"/>
      <c r="J584" s="9"/>
      <c r="K584" s="9">
        <v>2023</v>
      </c>
      <c r="L584" s="13" t="s">
        <v>1039</v>
      </c>
      <c r="M584" s="11">
        <v>57.757253730000002</v>
      </c>
      <c r="N584" s="9" t="s">
        <v>1067</v>
      </c>
      <c r="O584" s="9"/>
      <c r="P584" s="9"/>
      <c r="Q584" s="9"/>
      <c r="R584" s="9"/>
      <c r="S584" s="9"/>
      <c r="T584" s="9"/>
    </row>
    <row r="585" spans="1:20">
      <c r="A585" s="9">
        <v>26</v>
      </c>
      <c r="B585" t="s">
        <v>1159</v>
      </c>
      <c r="C585" s="9" t="s">
        <v>898</v>
      </c>
      <c r="D585" s="9" t="s">
        <v>254</v>
      </c>
      <c r="E585" s="9" t="s">
        <v>1000</v>
      </c>
      <c r="F585" s="9">
        <v>6809</v>
      </c>
      <c r="G585" s="9" t="s">
        <v>103</v>
      </c>
      <c r="H585" s="9" t="s">
        <v>999</v>
      </c>
      <c r="I585" s="9"/>
      <c r="J585" s="9"/>
      <c r="K585" s="9">
        <v>2023</v>
      </c>
      <c r="L585" s="9"/>
      <c r="M585" s="11">
        <v>53110200</v>
      </c>
      <c r="N585" s="9" t="s">
        <v>1068</v>
      </c>
      <c r="O585" s="9"/>
      <c r="P585" s="9"/>
      <c r="Q585" s="9"/>
      <c r="R585" s="9"/>
      <c r="S585" s="9"/>
      <c r="T585" s="9"/>
    </row>
    <row r="586" spans="1:20">
      <c r="A586" s="9">
        <v>26</v>
      </c>
      <c r="B586" t="s">
        <v>1159</v>
      </c>
      <c r="C586" s="9" t="s">
        <v>898</v>
      </c>
      <c r="D586" s="9" t="s">
        <v>1004</v>
      </c>
      <c r="E586" s="9" t="s">
        <v>1000</v>
      </c>
      <c r="F586" s="9">
        <v>18.94177539</v>
      </c>
      <c r="G586" s="9" t="s">
        <v>30</v>
      </c>
      <c r="H586" s="9" t="s">
        <v>999</v>
      </c>
      <c r="I586" s="9"/>
      <c r="J586" s="9"/>
      <c r="K586" s="9">
        <v>2023</v>
      </c>
      <c r="L586" s="9"/>
      <c r="M586" s="11">
        <v>18.94177539</v>
      </c>
      <c r="N586" s="9" t="s">
        <v>1069</v>
      </c>
      <c r="O586" s="9"/>
      <c r="P586" s="9"/>
      <c r="Q586" s="9"/>
      <c r="R586" s="9"/>
      <c r="S586" s="9"/>
      <c r="T586" s="9"/>
    </row>
    <row r="587" spans="1:20" ht="15">
      <c r="A587" s="9">
        <v>26</v>
      </c>
      <c r="B587" t="s">
        <v>1159</v>
      </c>
      <c r="C587" s="9" t="s">
        <v>898</v>
      </c>
      <c r="D587" s="9" t="s">
        <v>1005</v>
      </c>
      <c r="E587" s="9" t="s">
        <v>1000</v>
      </c>
      <c r="F587" s="9">
        <v>5395</v>
      </c>
      <c r="G587" s="9" t="s">
        <v>103</v>
      </c>
      <c r="H587" s="9" t="s">
        <v>999</v>
      </c>
      <c r="I587" s="9"/>
      <c r="J587" s="9"/>
      <c r="K587" s="9">
        <v>2023</v>
      </c>
      <c r="L587" s="13" t="s">
        <v>1029</v>
      </c>
      <c r="M587" s="11">
        <v>42081000</v>
      </c>
      <c r="N587" s="9" t="s">
        <v>1070</v>
      </c>
      <c r="O587" s="9"/>
      <c r="P587" s="9"/>
      <c r="Q587" s="9"/>
      <c r="R587" s="9"/>
      <c r="S587" s="9"/>
      <c r="T587" s="9"/>
    </row>
    <row r="588" spans="1:20" ht="15">
      <c r="A588" s="9">
        <v>26</v>
      </c>
      <c r="B588" t="s">
        <v>1159</v>
      </c>
      <c r="C588" s="9" t="s">
        <v>898</v>
      </c>
      <c r="D588" s="9" t="s">
        <v>1006</v>
      </c>
      <c r="E588" s="9" t="s">
        <v>1051</v>
      </c>
      <c r="F588" s="9">
        <f>F587/F582*100</f>
        <v>15.008206526274792</v>
      </c>
      <c r="G588" s="9" t="s">
        <v>30</v>
      </c>
      <c r="H588" s="9" t="s">
        <v>999</v>
      </c>
      <c r="I588" s="9"/>
      <c r="J588" s="9"/>
      <c r="K588" s="9">
        <v>2023</v>
      </c>
      <c r="L588" s="13" t="s">
        <v>1040</v>
      </c>
      <c r="M588" s="11">
        <v>15.21277697</v>
      </c>
      <c r="N588" s="9" t="s">
        <v>1062</v>
      </c>
      <c r="O588" s="9"/>
      <c r="P588" s="9"/>
      <c r="Q588" s="9"/>
      <c r="R588" s="9"/>
      <c r="S588" s="9"/>
      <c r="T588" s="9"/>
    </row>
    <row r="589" spans="1:20" ht="15">
      <c r="A589" s="9">
        <v>26</v>
      </c>
      <c r="B589" t="s">
        <v>1159</v>
      </c>
      <c r="C589" s="13" t="s">
        <v>1010</v>
      </c>
      <c r="D589" s="9" t="s">
        <v>981</v>
      </c>
      <c r="E589" s="9" t="s">
        <v>1041</v>
      </c>
      <c r="F589" s="9">
        <v>4630</v>
      </c>
      <c r="G589" s="9" t="s">
        <v>103</v>
      </c>
      <c r="H589" s="9" t="s">
        <v>1042</v>
      </c>
      <c r="I589" s="9">
        <v>45</v>
      </c>
      <c r="J589" s="9"/>
      <c r="K589" s="9">
        <v>2025</v>
      </c>
      <c r="L589" s="13" t="s">
        <v>774</v>
      </c>
      <c r="M589" s="11">
        <v>36114000</v>
      </c>
      <c r="N589" s="9" t="s">
        <v>1071</v>
      </c>
      <c r="O589" s="9"/>
      <c r="P589" s="9"/>
      <c r="Q589" s="9"/>
      <c r="R589" s="9"/>
      <c r="S589" s="9"/>
      <c r="T589" s="9"/>
    </row>
    <row r="590" spans="1:20" ht="15">
      <c r="A590" s="9">
        <v>26</v>
      </c>
      <c r="B590" t="s">
        <v>1159</v>
      </c>
      <c r="C590" s="9" t="s">
        <v>898</v>
      </c>
      <c r="D590" s="9" t="s">
        <v>981</v>
      </c>
      <c r="E590" s="9" t="s">
        <v>1041</v>
      </c>
      <c r="F590" s="9">
        <v>39864</v>
      </c>
      <c r="G590" s="9" t="s">
        <v>103</v>
      </c>
      <c r="H590" s="9" t="s">
        <v>1043</v>
      </c>
      <c r="I590" s="9"/>
      <c r="J590" s="9"/>
      <c r="K590" s="9">
        <v>2025</v>
      </c>
      <c r="L590" s="13" t="s">
        <v>774</v>
      </c>
      <c r="M590" s="11">
        <v>310939200</v>
      </c>
      <c r="N590" s="9" t="s">
        <v>1072</v>
      </c>
      <c r="O590" s="9"/>
      <c r="P590" s="9"/>
      <c r="Q590" s="9"/>
      <c r="R590" s="9"/>
      <c r="S590" s="9"/>
      <c r="T590" s="9"/>
    </row>
    <row r="591" spans="1:20" ht="15">
      <c r="A591" s="9">
        <v>26</v>
      </c>
      <c r="B591" t="s">
        <v>1159</v>
      </c>
      <c r="C591" s="9" t="s">
        <v>898</v>
      </c>
      <c r="D591" s="9" t="s">
        <v>1001</v>
      </c>
      <c r="E591" s="9" t="s">
        <v>1041</v>
      </c>
      <c r="F591" s="9">
        <v>23222</v>
      </c>
      <c r="G591" s="9" t="s">
        <v>103</v>
      </c>
      <c r="H591" s="9" t="s">
        <v>1043</v>
      </c>
      <c r="I591" s="9"/>
      <c r="J591" s="9"/>
      <c r="K591" s="9">
        <v>2025</v>
      </c>
      <c r="L591" s="13" t="s">
        <v>1038</v>
      </c>
      <c r="M591" s="11">
        <v>181131600</v>
      </c>
      <c r="N591" s="9" t="s">
        <v>1073</v>
      </c>
      <c r="O591" s="9"/>
      <c r="P591" s="9"/>
      <c r="Q591" s="9"/>
      <c r="R591" s="9"/>
      <c r="S591" s="9"/>
      <c r="T591" s="9"/>
    </row>
    <row r="592" spans="1:20" ht="15">
      <c r="A592" s="9">
        <v>26</v>
      </c>
      <c r="B592" t="s">
        <v>1159</v>
      </c>
      <c r="C592" s="9" t="s">
        <v>898</v>
      </c>
      <c r="D592" s="9" t="s">
        <v>1002</v>
      </c>
      <c r="E592" s="9" t="s">
        <v>1041</v>
      </c>
      <c r="F592" s="9">
        <v>58.253060410000003</v>
      </c>
      <c r="G592" s="9" t="s">
        <v>30</v>
      </c>
      <c r="H592" s="9" t="s">
        <v>1043</v>
      </c>
      <c r="I592" s="9"/>
      <c r="J592" s="9"/>
      <c r="K592" s="9">
        <v>2025</v>
      </c>
      <c r="L592" s="13" t="s">
        <v>1039</v>
      </c>
      <c r="M592" s="11">
        <v>58.253060410000003</v>
      </c>
      <c r="N592" s="9" t="s">
        <v>1074</v>
      </c>
      <c r="O592" s="9"/>
      <c r="P592" s="9"/>
      <c r="Q592" s="9"/>
      <c r="R592" s="9"/>
      <c r="S592" s="9"/>
      <c r="T592" s="9"/>
    </row>
    <row r="593" spans="1:20">
      <c r="A593" s="9">
        <v>26</v>
      </c>
      <c r="B593" t="s">
        <v>1159</v>
      </c>
      <c r="C593" s="9" t="s">
        <v>898</v>
      </c>
      <c r="D593" s="9" t="s">
        <v>254</v>
      </c>
      <c r="E593" s="9" t="s">
        <v>1041</v>
      </c>
      <c r="F593" s="9">
        <v>7997</v>
      </c>
      <c r="G593" s="9" t="s">
        <v>103</v>
      </c>
      <c r="H593" s="9" t="s">
        <v>1043</v>
      </c>
      <c r="I593" s="9"/>
      <c r="J593" s="9"/>
      <c r="K593" s="9">
        <v>2025</v>
      </c>
      <c r="L593" s="9"/>
      <c r="M593" s="11">
        <v>62376600</v>
      </c>
      <c r="N593" s="9" t="s">
        <v>1075</v>
      </c>
      <c r="O593" s="9"/>
      <c r="P593" s="9"/>
      <c r="Q593" s="9"/>
      <c r="R593" s="9"/>
      <c r="S593" s="9"/>
      <c r="T593" s="9"/>
    </row>
    <row r="594" spans="1:20">
      <c r="A594" s="9">
        <v>26</v>
      </c>
      <c r="B594" t="s">
        <v>1159</v>
      </c>
      <c r="C594" s="9" t="s">
        <v>898</v>
      </c>
      <c r="D594" s="9" t="s">
        <v>1004</v>
      </c>
      <c r="E594" s="9" t="s">
        <v>1041</v>
      </c>
      <c r="F594" s="9">
        <v>20.060706400000001</v>
      </c>
      <c r="G594" s="9" t="s">
        <v>30</v>
      </c>
      <c r="H594" s="9" t="s">
        <v>1043</v>
      </c>
      <c r="I594" s="9"/>
      <c r="J594" s="9"/>
      <c r="K594" s="9">
        <v>2025</v>
      </c>
      <c r="L594" s="9"/>
      <c r="M594" s="11">
        <v>20.060706400000001</v>
      </c>
      <c r="N594" s="9" t="s">
        <v>1076</v>
      </c>
      <c r="O594" s="9"/>
      <c r="P594" s="9"/>
      <c r="Q594" s="9"/>
      <c r="R594" s="9"/>
      <c r="S594" s="9"/>
      <c r="T594" s="9"/>
    </row>
    <row r="595" spans="1:20" ht="15">
      <c r="A595" s="9">
        <v>26</v>
      </c>
      <c r="B595" t="s">
        <v>1159</v>
      </c>
      <c r="C595" s="9" t="s">
        <v>898</v>
      </c>
      <c r="D595" s="9" t="s">
        <v>1005</v>
      </c>
      <c r="E595" s="9" t="s">
        <v>1041</v>
      </c>
      <c r="F595" s="9">
        <v>6220</v>
      </c>
      <c r="G595" s="9" t="s">
        <v>103</v>
      </c>
      <c r="H595" s="9" t="s">
        <v>1043</v>
      </c>
      <c r="I595" s="9"/>
      <c r="J595" s="9"/>
      <c r="K595" s="9">
        <v>2025</v>
      </c>
      <c r="L595" s="13" t="s">
        <v>1029</v>
      </c>
      <c r="M595" s="11">
        <v>48516000</v>
      </c>
      <c r="N595" s="9" t="s">
        <v>1077</v>
      </c>
      <c r="O595" s="9"/>
      <c r="P595" s="9"/>
      <c r="Q595" s="9"/>
      <c r="R595" s="9"/>
      <c r="S595" s="9"/>
      <c r="T595" s="9"/>
    </row>
    <row r="596" spans="1:20" ht="15">
      <c r="A596" s="9">
        <v>26</v>
      </c>
      <c r="B596" t="s">
        <v>1159</v>
      </c>
      <c r="C596" s="9" t="s">
        <v>898</v>
      </c>
      <c r="D596" s="9" t="s">
        <v>1006</v>
      </c>
      <c r="E596" s="9" t="s">
        <v>1041</v>
      </c>
      <c r="F596" s="9">
        <v>15.60305037</v>
      </c>
      <c r="G596" s="9" t="s">
        <v>30</v>
      </c>
      <c r="H596" s="9" t="s">
        <v>1043</v>
      </c>
      <c r="I596" s="9"/>
      <c r="J596" s="9"/>
      <c r="K596" s="9">
        <v>2025</v>
      </c>
      <c r="L596" s="13" t="s">
        <v>1040</v>
      </c>
      <c r="M596" s="11">
        <v>15.60305037</v>
      </c>
      <c r="N596" s="9" t="s">
        <v>1078</v>
      </c>
      <c r="O596" s="9"/>
      <c r="P596" s="9"/>
      <c r="Q596" s="9"/>
      <c r="R596" s="9"/>
      <c r="S596" s="9"/>
      <c r="T596" s="9"/>
    </row>
    <row r="597" spans="1:20" ht="15">
      <c r="A597" s="9">
        <v>25</v>
      </c>
      <c r="B597" t="s">
        <v>1158</v>
      </c>
      <c r="C597" s="13" t="s">
        <v>1008</v>
      </c>
      <c r="D597" s="9" t="s">
        <v>981</v>
      </c>
      <c r="E597" s="9" t="s">
        <v>987</v>
      </c>
      <c r="F597" s="9">
        <v>677</v>
      </c>
      <c r="G597" s="9" t="s">
        <v>983</v>
      </c>
      <c r="H597" s="9" t="s">
        <v>1044</v>
      </c>
      <c r="I597" s="9"/>
      <c r="J597" s="9"/>
      <c r="K597" s="9">
        <v>2024</v>
      </c>
      <c r="L597" s="13" t="s">
        <v>1026</v>
      </c>
      <c r="M597">
        <v>32496000</v>
      </c>
      <c r="N597" t="s">
        <v>1315</v>
      </c>
      <c r="O597" s="9"/>
      <c r="P597" s="9"/>
      <c r="Q597" s="9"/>
      <c r="R597" s="9"/>
      <c r="S597" s="9"/>
      <c r="T597" s="9"/>
    </row>
    <row r="598" spans="1:20" ht="15">
      <c r="A598" s="9">
        <v>25</v>
      </c>
      <c r="B598" t="s">
        <v>1158</v>
      </c>
      <c r="C598" s="13" t="s">
        <v>1008</v>
      </c>
      <c r="D598" s="9" t="s">
        <v>984</v>
      </c>
      <c r="E598" s="9" t="s">
        <v>987</v>
      </c>
      <c r="F598" s="9">
        <v>104.8</v>
      </c>
      <c r="G598" s="9" t="s">
        <v>983</v>
      </c>
      <c r="H598" s="9" t="s">
        <v>1044</v>
      </c>
      <c r="I598" s="9"/>
      <c r="J598" s="9"/>
      <c r="K598" s="9">
        <v>2024</v>
      </c>
      <c r="L598" s="13" t="s">
        <v>1027</v>
      </c>
      <c r="M598">
        <v>5030400</v>
      </c>
      <c r="N598" t="s">
        <v>1315</v>
      </c>
      <c r="O598" s="9"/>
      <c r="P598" s="9"/>
      <c r="Q598" s="9"/>
      <c r="R598" s="9"/>
      <c r="S598" s="9"/>
      <c r="T598" s="9"/>
    </row>
    <row r="599" spans="1:20" ht="15">
      <c r="A599" s="9">
        <v>25</v>
      </c>
      <c r="B599" t="s">
        <v>1158</v>
      </c>
      <c r="C599" s="13" t="s">
        <v>1008</v>
      </c>
      <c r="D599" s="9" t="s">
        <v>991</v>
      </c>
      <c r="E599" s="9" t="s">
        <v>987</v>
      </c>
      <c r="F599" s="9">
        <v>15.48005908</v>
      </c>
      <c r="G599" s="9" t="s">
        <v>30</v>
      </c>
      <c r="H599" s="9" t="s">
        <v>1045</v>
      </c>
      <c r="I599" s="9"/>
      <c r="J599" s="9"/>
      <c r="K599" s="9">
        <v>2024</v>
      </c>
      <c r="L599" s="13" t="s">
        <v>1028</v>
      </c>
      <c r="M599">
        <v>15.48005908</v>
      </c>
      <c r="N599" t="s">
        <v>1046</v>
      </c>
      <c r="O599" s="9"/>
      <c r="P599" s="9"/>
      <c r="Q599" s="9"/>
      <c r="R599" s="9"/>
      <c r="S599" s="9"/>
      <c r="T599" s="9"/>
    </row>
    <row r="600" spans="1:20" ht="15">
      <c r="A600" s="9">
        <v>25</v>
      </c>
      <c r="B600" t="s">
        <v>1158</v>
      </c>
      <c r="C600" s="13" t="s">
        <v>1008</v>
      </c>
      <c r="D600" s="9" t="s">
        <v>1047</v>
      </c>
      <c r="E600" s="9" t="s">
        <v>987</v>
      </c>
      <c r="F600" s="9">
        <v>9.1999999999999993</v>
      </c>
      <c r="G600" s="9" t="s">
        <v>30</v>
      </c>
      <c r="H600" s="9" t="s">
        <v>1045</v>
      </c>
      <c r="I600" s="9"/>
      <c r="J600" s="9"/>
      <c r="K600" s="9">
        <v>2024</v>
      </c>
      <c r="L600" s="9"/>
      <c r="M600">
        <v>9.1999999999999993</v>
      </c>
      <c r="N600" t="s">
        <v>1048</v>
      </c>
      <c r="O600" s="9"/>
      <c r="P600" s="9"/>
      <c r="Q600" s="9"/>
      <c r="R600" s="9"/>
      <c r="S600" s="9"/>
      <c r="T600" s="9"/>
    </row>
    <row r="601" spans="1:20" ht="15">
      <c r="A601" s="9">
        <v>25</v>
      </c>
      <c r="B601" t="s">
        <v>1158</v>
      </c>
      <c r="C601" s="13" t="s">
        <v>1008</v>
      </c>
      <c r="D601" s="9" t="s">
        <v>981</v>
      </c>
      <c r="E601" s="9" t="s">
        <v>988</v>
      </c>
      <c r="F601" s="9">
        <v>620.20000000000005</v>
      </c>
      <c r="G601" s="9" t="s">
        <v>983</v>
      </c>
      <c r="H601" s="9" t="s">
        <v>1049</v>
      </c>
      <c r="I601" s="9"/>
      <c r="J601" s="9"/>
      <c r="K601" s="9">
        <v>2023</v>
      </c>
      <c r="L601" s="13" t="s">
        <v>1026</v>
      </c>
      <c r="M601">
        <v>29769600</v>
      </c>
      <c r="N601" t="s">
        <v>1315</v>
      </c>
      <c r="O601" s="9"/>
      <c r="P601" s="9"/>
      <c r="Q601" s="9"/>
      <c r="R601" s="9"/>
      <c r="S601" s="9"/>
      <c r="T601" s="9"/>
    </row>
    <row r="602" spans="1:20" ht="15">
      <c r="A602" s="9">
        <v>25</v>
      </c>
      <c r="B602" t="s">
        <v>1158</v>
      </c>
      <c r="C602" s="13" t="s">
        <v>1008</v>
      </c>
      <c r="D602" s="9" t="s">
        <v>984</v>
      </c>
      <c r="E602" s="9" t="s">
        <v>988</v>
      </c>
      <c r="F602" s="9">
        <v>104.3</v>
      </c>
      <c r="G602" s="9" t="s">
        <v>983</v>
      </c>
      <c r="H602" s="9" t="s">
        <v>1049</v>
      </c>
      <c r="I602" s="9"/>
      <c r="J602" s="9"/>
      <c r="K602" s="9">
        <v>2023</v>
      </c>
      <c r="L602" s="13" t="s">
        <v>1027</v>
      </c>
      <c r="M602">
        <v>5006400</v>
      </c>
      <c r="N602" t="s">
        <v>1315</v>
      </c>
      <c r="O602" s="9"/>
      <c r="P602" s="9"/>
      <c r="Q602" s="9"/>
      <c r="R602" s="9"/>
      <c r="S602" s="9"/>
      <c r="T602" s="9"/>
    </row>
    <row r="603" spans="1:20" ht="15">
      <c r="A603" s="9">
        <v>25</v>
      </c>
      <c r="B603" t="s">
        <v>1158</v>
      </c>
      <c r="C603" s="13" t="s">
        <v>1008</v>
      </c>
      <c r="D603" s="9" t="s">
        <v>991</v>
      </c>
      <c r="E603" s="9" t="s">
        <v>988</v>
      </c>
      <c r="F603" s="9">
        <v>16.817155759999999</v>
      </c>
      <c r="G603" s="9" t="s">
        <v>30</v>
      </c>
      <c r="H603" s="9" t="s">
        <v>1050</v>
      </c>
      <c r="I603" s="9"/>
      <c r="J603" s="9"/>
      <c r="K603" s="9">
        <v>2023</v>
      </c>
      <c r="L603" s="13" t="s">
        <v>1028</v>
      </c>
      <c r="M603">
        <v>16.817155759999999</v>
      </c>
      <c r="N603" t="s">
        <v>1052</v>
      </c>
      <c r="O603" s="9"/>
      <c r="P603" s="9"/>
      <c r="Q603" s="9"/>
      <c r="R603" s="9"/>
      <c r="S603" s="9"/>
      <c r="T603" s="9"/>
    </row>
    <row r="604" spans="1:20">
      <c r="A604">
        <v>5</v>
      </c>
      <c r="B604" t="s">
        <v>589</v>
      </c>
      <c r="C604" t="s">
        <v>457</v>
      </c>
      <c r="D604" t="s">
        <v>1202</v>
      </c>
      <c r="E604" t="s">
        <v>51</v>
      </c>
      <c r="F604">
        <v>99151</v>
      </c>
      <c r="G604" t="s">
        <v>560</v>
      </c>
      <c r="H604" t="s">
        <v>1203</v>
      </c>
      <c r="I604" t="s">
        <v>1204</v>
      </c>
      <c r="J604" t="s">
        <v>1205</v>
      </c>
      <c r="K604">
        <v>2025</v>
      </c>
      <c r="L604" t="s">
        <v>23</v>
      </c>
      <c r="M604">
        <v>4759248</v>
      </c>
      <c r="N604" t="s">
        <v>564</v>
      </c>
      <c r="O604" t="s">
        <v>1206</v>
      </c>
      <c r="P604" t="s">
        <v>1207</v>
      </c>
      <c r="Q604" t="s">
        <v>1208</v>
      </c>
    </row>
    <row r="605" spans="1:20">
      <c r="A605">
        <v>5</v>
      </c>
      <c r="B605" t="s">
        <v>589</v>
      </c>
      <c r="C605" t="s">
        <v>457</v>
      </c>
      <c r="D605" t="s">
        <v>1202</v>
      </c>
      <c r="E605" t="s">
        <v>57</v>
      </c>
      <c r="F605">
        <v>83026</v>
      </c>
      <c r="G605" t="s">
        <v>560</v>
      </c>
      <c r="H605" t="s">
        <v>1203</v>
      </c>
      <c r="I605" t="s">
        <v>1204</v>
      </c>
      <c r="J605" t="s">
        <v>1209</v>
      </c>
      <c r="K605">
        <v>2024</v>
      </c>
      <c r="L605" t="s">
        <v>23</v>
      </c>
      <c r="M605">
        <v>3985248</v>
      </c>
      <c r="N605" t="s">
        <v>564</v>
      </c>
      <c r="O605" t="s">
        <v>1206</v>
      </c>
      <c r="P605" t="s">
        <v>1207</v>
      </c>
      <c r="Q605" t="s">
        <v>1208</v>
      </c>
    </row>
    <row r="606" spans="1:20">
      <c r="A606">
        <v>5</v>
      </c>
      <c r="B606" t="s">
        <v>589</v>
      </c>
      <c r="C606" t="s">
        <v>457</v>
      </c>
      <c r="D606" t="s">
        <v>1202</v>
      </c>
      <c r="E606" t="s">
        <v>62</v>
      </c>
      <c r="F606">
        <v>63624</v>
      </c>
      <c r="G606" t="s">
        <v>560</v>
      </c>
      <c r="H606" t="s">
        <v>1210</v>
      </c>
      <c r="I606" t="s">
        <v>1211</v>
      </c>
      <c r="J606" t="s">
        <v>1212</v>
      </c>
      <c r="K606">
        <v>2023</v>
      </c>
      <c r="L606" t="s">
        <v>23</v>
      </c>
      <c r="M606">
        <v>3053952</v>
      </c>
      <c r="N606" t="s">
        <v>564</v>
      </c>
      <c r="O606" t="s">
        <v>1206</v>
      </c>
      <c r="P606" t="s">
        <v>1207</v>
      </c>
      <c r="Q606" t="s">
        <v>1208</v>
      </c>
    </row>
    <row r="607" spans="1:20">
      <c r="A607">
        <v>2</v>
      </c>
      <c r="B607" t="s">
        <v>1213</v>
      </c>
      <c r="C607" t="s">
        <v>17</v>
      </c>
      <c r="D607" t="s">
        <v>1214</v>
      </c>
      <c r="E607" t="s">
        <v>57</v>
      </c>
      <c r="F607">
        <v>824</v>
      </c>
      <c r="G607" t="s">
        <v>103</v>
      </c>
      <c r="H607" t="s">
        <v>1215</v>
      </c>
      <c r="I607" t="s">
        <v>1216</v>
      </c>
      <c r="J607" t="s">
        <v>1217</v>
      </c>
      <c r="K607">
        <v>2024</v>
      </c>
      <c r="L607" t="s">
        <v>150</v>
      </c>
      <c r="M607">
        <v>6427200</v>
      </c>
      <c r="N607" t="s">
        <v>1218</v>
      </c>
      <c r="O607" t="s">
        <v>1219</v>
      </c>
      <c r="P607" t="s">
        <v>1207</v>
      </c>
      <c r="Q607" t="s">
        <v>1220</v>
      </c>
    </row>
    <row r="608" spans="1:20">
      <c r="A608">
        <v>2</v>
      </c>
      <c r="B608" t="s">
        <v>1213</v>
      </c>
      <c r="C608" t="s">
        <v>17</v>
      </c>
      <c r="D608" t="s">
        <v>1221</v>
      </c>
      <c r="E608" t="s">
        <v>57</v>
      </c>
      <c r="F608">
        <v>764</v>
      </c>
      <c r="G608" t="s">
        <v>103</v>
      </c>
      <c r="H608" t="s">
        <v>1215</v>
      </c>
      <c r="I608" t="s">
        <v>1216</v>
      </c>
      <c r="J608" t="s">
        <v>1222</v>
      </c>
      <c r="K608">
        <v>2024</v>
      </c>
      <c r="L608" t="s">
        <v>1223</v>
      </c>
      <c r="M608">
        <v>5959200</v>
      </c>
      <c r="N608" t="s">
        <v>1218</v>
      </c>
      <c r="O608" t="s">
        <v>1219</v>
      </c>
      <c r="P608" t="s">
        <v>1207</v>
      </c>
      <c r="Q608" t="s">
        <v>1220</v>
      </c>
    </row>
    <row r="609" spans="1:17">
      <c r="A609">
        <v>2</v>
      </c>
      <c r="B609" t="s">
        <v>1213</v>
      </c>
      <c r="C609" t="s">
        <v>17</v>
      </c>
      <c r="D609" t="s">
        <v>1224</v>
      </c>
      <c r="E609" t="s">
        <v>57</v>
      </c>
      <c r="F609">
        <v>832</v>
      </c>
      <c r="G609" t="s">
        <v>103</v>
      </c>
      <c r="H609" t="s">
        <v>1215</v>
      </c>
      <c r="I609" t="s">
        <v>1216</v>
      </c>
      <c r="J609" t="s">
        <v>1225</v>
      </c>
      <c r="K609">
        <v>2024</v>
      </c>
      <c r="L609" t="s">
        <v>150</v>
      </c>
      <c r="M609">
        <v>6489600</v>
      </c>
      <c r="N609" t="s">
        <v>1218</v>
      </c>
      <c r="O609" t="s">
        <v>1219</v>
      </c>
      <c r="P609" t="s">
        <v>1207</v>
      </c>
      <c r="Q609" t="s">
        <v>1220</v>
      </c>
    </row>
    <row r="610" spans="1:17">
      <c r="A610">
        <v>2</v>
      </c>
      <c r="B610" t="s">
        <v>1213</v>
      </c>
      <c r="C610" t="s">
        <v>17</v>
      </c>
      <c r="D610" t="s">
        <v>1226</v>
      </c>
      <c r="E610" t="s">
        <v>57</v>
      </c>
      <c r="F610">
        <v>2841</v>
      </c>
      <c r="G610" t="s">
        <v>103</v>
      </c>
      <c r="H610" t="s">
        <v>1215</v>
      </c>
      <c r="I610" t="s">
        <v>1216</v>
      </c>
      <c r="J610" t="s">
        <v>1227</v>
      </c>
      <c r="K610">
        <v>2024</v>
      </c>
      <c r="L610" t="s">
        <v>1228</v>
      </c>
      <c r="M610">
        <v>22159800</v>
      </c>
      <c r="N610" t="s">
        <v>1218</v>
      </c>
      <c r="O610" t="s">
        <v>1229</v>
      </c>
      <c r="P610" t="s">
        <v>1207</v>
      </c>
      <c r="Q610" t="s">
        <v>1220</v>
      </c>
    </row>
    <row r="611" spans="1:17">
      <c r="A611">
        <v>2</v>
      </c>
      <c r="B611" t="s">
        <v>1213</v>
      </c>
      <c r="C611" t="s">
        <v>17</v>
      </c>
      <c r="D611" t="s">
        <v>1230</v>
      </c>
      <c r="E611" t="s">
        <v>57</v>
      </c>
      <c r="F611">
        <v>5936</v>
      </c>
      <c r="G611" t="s">
        <v>103</v>
      </c>
      <c r="H611" t="s">
        <v>1215</v>
      </c>
      <c r="I611" t="s">
        <v>1216</v>
      </c>
      <c r="J611" t="s">
        <v>1231</v>
      </c>
      <c r="K611">
        <v>2024</v>
      </c>
      <c r="L611" t="s">
        <v>1232</v>
      </c>
      <c r="M611">
        <v>46300800</v>
      </c>
      <c r="N611" t="s">
        <v>1218</v>
      </c>
      <c r="O611" t="s">
        <v>1233</v>
      </c>
      <c r="P611" t="s">
        <v>1207</v>
      </c>
      <c r="Q611" t="s">
        <v>1220</v>
      </c>
    </row>
    <row r="612" spans="1:17">
      <c r="A612">
        <v>2</v>
      </c>
      <c r="B612" t="s">
        <v>1213</v>
      </c>
      <c r="C612" t="s">
        <v>17</v>
      </c>
      <c r="D612" t="s">
        <v>1234</v>
      </c>
      <c r="E612" t="s">
        <v>57</v>
      </c>
      <c r="F612">
        <v>2138</v>
      </c>
      <c r="G612" t="s">
        <v>103</v>
      </c>
      <c r="H612" t="s">
        <v>1215</v>
      </c>
      <c r="I612" t="s">
        <v>1216</v>
      </c>
      <c r="J612" t="s">
        <v>1235</v>
      </c>
      <c r="K612">
        <v>2024</v>
      </c>
      <c r="L612" t="s">
        <v>1236</v>
      </c>
      <c r="M612">
        <v>16676400</v>
      </c>
      <c r="N612" t="s">
        <v>1218</v>
      </c>
      <c r="O612" t="s">
        <v>1237</v>
      </c>
      <c r="P612" t="s">
        <v>1207</v>
      </c>
      <c r="Q612" t="s">
        <v>1220</v>
      </c>
    </row>
    <row r="613" spans="1:17">
      <c r="A613">
        <v>2</v>
      </c>
      <c r="B613" t="s">
        <v>1213</v>
      </c>
      <c r="C613" t="s">
        <v>17</v>
      </c>
      <c r="D613" t="s">
        <v>1238</v>
      </c>
      <c r="E613" t="s">
        <v>57</v>
      </c>
      <c r="F613">
        <v>10945</v>
      </c>
      <c r="G613" t="s">
        <v>103</v>
      </c>
      <c r="H613" t="s">
        <v>1215</v>
      </c>
      <c r="I613" t="s">
        <v>1216</v>
      </c>
      <c r="J613" t="s">
        <v>1239</v>
      </c>
      <c r="K613">
        <v>2024</v>
      </c>
      <c r="L613" t="s">
        <v>693</v>
      </c>
      <c r="M613">
        <v>85371000</v>
      </c>
      <c r="N613" t="s">
        <v>1218</v>
      </c>
      <c r="O613" t="s">
        <v>1240</v>
      </c>
      <c r="P613" t="s">
        <v>1207</v>
      </c>
      <c r="Q613" t="s">
        <v>1220</v>
      </c>
    </row>
    <row r="614" spans="1:17">
      <c r="A614">
        <v>2</v>
      </c>
      <c r="B614" t="s">
        <v>1213</v>
      </c>
      <c r="C614" t="s">
        <v>17</v>
      </c>
      <c r="D614" t="s">
        <v>1214</v>
      </c>
      <c r="E614" t="s">
        <v>62</v>
      </c>
      <c r="F614">
        <v>-58</v>
      </c>
      <c r="G614" t="s">
        <v>103</v>
      </c>
      <c r="H614" t="s">
        <v>1215</v>
      </c>
      <c r="I614" t="s">
        <v>1216</v>
      </c>
      <c r="J614" t="s">
        <v>1241</v>
      </c>
      <c r="K614">
        <v>2023</v>
      </c>
      <c r="L614" t="s">
        <v>150</v>
      </c>
      <c r="M614">
        <v>-452400</v>
      </c>
      <c r="N614" t="s">
        <v>1218</v>
      </c>
      <c r="O614" t="s">
        <v>1219</v>
      </c>
      <c r="P614" t="s">
        <v>1207</v>
      </c>
      <c r="Q614" t="s">
        <v>1220</v>
      </c>
    </row>
    <row r="615" spans="1:17">
      <c r="A615">
        <v>2</v>
      </c>
      <c r="B615" t="s">
        <v>1213</v>
      </c>
      <c r="C615" t="s">
        <v>17</v>
      </c>
      <c r="D615" t="s">
        <v>1221</v>
      </c>
      <c r="E615" t="s">
        <v>62</v>
      </c>
      <c r="F615">
        <v>-75</v>
      </c>
      <c r="G615" t="s">
        <v>103</v>
      </c>
      <c r="H615" t="s">
        <v>1215</v>
      </c>
      <c r="I615" t="s">
        <v>1216</v>
      </c>
      <c r="J615" t="s">
        <v>1242</v>
      </c>
      <c r="K615">
        <v>2023</v>
      </c>
      <c r="L615" t="s">
        <v>1223</v>
      </c>
      <c r="M615">
        <v>-585000</v>
      </c>
      <c r="N615" t="s">
        <v>1218</v>
      </c>
      <c r="O615" t="s">
        <v>1219</v>
      </c>
      <c r="P615" t="s">
        <v>1207</v>
      </c>
      <c r="Q615" t="s">
        <v>1220</v>
      </c>
    </row>
    <row r="616" spans="1:17">
      <c r="A616">
        <v>2</v>
      </c>
      <c r="B616" t="s">
        <v>1213</v>
      </c>
      <c r="C616" t="s">
        <v>17</v>
      </c>
      <c r="D616" t="s">
        <v>1224</v>
      </c>
      <c r="E616" t="s">
        <v>62</v>
      </c>
      <c r="F616">
        <v>-14</v>
      </c>
      <c r="G616" t="s">
        <v>103</v>
      </c>
      <c r="H616" t="s">
        <v>1215</v>
      </c>
      <c r="I616" t="s">
        <v>1216</v>
      </c>
      <c r="J616" t="s">
        <v>1243</v>
      </c>
      <c r="K616">
        <v>2023</v>
      </c>
      <c r="L616" t="s">
        <v>150</v>
      </c>
      <c r="M616">
        <v>-109200</v>
      </c>
      <c r="N616" t="s">
        <v>1218</v>
      </c>
      <c r="O616" t="s">
        <v>1219</v>
      </c>
      <c r="P616" t="s">
        <v>1207</v>
      </c>
      <c r="Q616" t="s">
        <v>1220</v>
      </c>
    </row>
    <row r="617" spans="1:17">
      <c r="A617">
        <v>2</v>
      </c>
      <c r="B617" t="s">
        <v>1213</v>
      </c>
      <c r="C617" t="s">
        <v>17</v>
      </c>
      <c r="D617" t="s">
        <v>1226</v>
      </c>
      <c r="E617" t="s">
        <v>62</v>
      </c>
      <c r="F617">
        <v>2528</v>
      </c>
      <c r="G617" t="s">
        <v>103</v>
      </c>
      <c r="H617" t="s">
        <v>1215</v>
      </c>
      <c r="I617" t="s">
        <v>1216</v>
      </c>
      <c r="J617" t="s">
        <v>1244</v>
      </c>
      <c r="K617">
        <v>2023</v>
      </c>
      <c r="L617" t="s">
        <v>1228</v>
      </c>
      <c r="M617">
        <v>19718400</v>
      </c>
      <c r="N617" t="s">
        <v>1218</v>
      </c>
      <c r="O617" t="s">
        <v>1245</v>
      </c>
      <c r="P617" t="s">
        <v>1207</v>
      </c>
      <c r="Q617" t="s">
        <v>1220</v>
      </c>
    </row>
    <row r="618" spans="1:17">
      <c r="A618">
        <v>2</v>
      </c>
      <c r="B618" t="s">
        <v>1213</v>
      </c>
      <c r="C618" t="s">
        <v>17</v>
      </c>
      <c r="D618" t="s">
        <v>1230</v>
      </c>
      <c r="E618" t="s">
        <v>62</v>
      </c>
      <c r="F618">
        <v>5547</v>
      </c>
      <c r="G618" t="s">
        <v>103</v>
      </c>
      <c r="H618" t="s">
        <v>1215</v>
      </c>
      <c r="I618" t="s">
        <v>1216</v>
      </c>
      <c r="J618" t="s">
        <v>1246</v>
      </c>
      <c r="K618">
        <v>2023</v>
      </c>
      <c r="L618" t="s">
        <v>1232</v>
      </c>
      <c r="M618">
        <v>43266600</v>
      </c>
      <c r="N618" t="s">
        <v>1218</v>
      </c>
      <c r="O618" t="s">
        <v>1247</v>
      </c>
      <c r="P618" t="s">
        <v>1207</v>
      </c>
      <c r="Q618" t="s">
        <v>1220</v>
      </c>
    </row>
    <row r="619" spans="1:17">
      <c r="A619">
        <v>2</v>
      </c>
      <c r="B619" t="s">
        <v>1213</v>
      </c>
      <c r="C619" t="s">
        <v>17</v>
      </c>
      <c r="D619" t="s">
        <v>1234</v>
      </c>
      <c r="E619" t="s">
        <v>62</v>
      </c>
      <c r="F619">
        <v>1839</v>
      </c>
      <c r="G619" t="s">
        <v>103</v>
      </c>
      <c r="H619" t="s">
        <v>1215</v>
      </c>
      <c r="I619" t="s">
        <v>1216</v>
      </c>
      <c r="J619" t="s">
        <v>1248</v>
      </c>
      <c r="K619">
        <v>2023</v>
      </c>
      <c r="L619" t="s">
        <v>1236</v>
      </c>
      <c r="M619">
        <v>14344200</v>
      </c>
      <c r="N619" t="s">
        <v>1218</v>
      </c>
      <c r="O619" t="s">
        <v>1249</v>
      </c>
      <c r="P619" t="s">
        <v>1207</v>
      </c>
      <c r="Q619" t="s">
        <v>1220</v>
      </c>
    </row>
    <row r="620" spans="1:17">
      <c r="A620">
        <v>2</v>
      </c>
      <c r="B620" t="s">
        <v>1213</v>
      </c>
      <c r="C620" t="s">
        <v>17</v>
      </c>
      <c r="D620" t="s">
        <v>1238</v>
      </c>
      <c r="E620" t="s">
        <v>62</v>
      </c>
      <c r="F620">
        <v>10070</v>
      </c>
      <c r="G620" t="s">
        <v>103</v>
      </c>
      <c r="H620" t="s">
        <v>1215</v>
      </c>
      <c r="I620" t="s">
        <v>1216</v>
      </c>
      <c r="J620" t="s">
        <v>1250</v>
      </c>
      <c r="K620">
        <v>2023</v>
      </c>
      <c r="L620" t="s">
        <v>693</v>
      </c>
      <c r="M620">
        <v>78546000</v>
      </c>
      <c r="N620" t="s">
        <v>1218</v>
      </c>
      <c r="O620" t="s">
        <v>1251</v>
      </c>
      <c r="P620" t="s">
        <v>1207</v>
      </c>
      <c r="Q620" t="s">
        <v>1220</v>
      </c>
    </row>
    <row r="621" spans="1:17">
      <c r="A621">
        <v>2</v>
      </c>
      <c r="B621" t="s">
        <v>1213</v>
      </c>
      <c r="C621" t="s">
        <v>17</v>
      </c>
      <c r="D621" t="s">
        <v>102</v>
      </c>
      <c r="E621" t="s">
        <v>51</v>
      </c>
      <c r="F621">
        <v>24811</v>
      </c>
      <c r="G621" t="s">
        <v>103</v>
      </c>
      <c r="H621" t="s">
        <v>1252</v>
      </c>
      <c r="I621" t="s">
        <v>1253</v>
      </c>
      <c r="J621" t="s">
        <v>1254</v>
      </c>
      <c r="K621">
        <v>2025</v>
      </c>
      <c r="L621" t="s">
        <v>23</v>
      </c>
      <c r="M621">
        <v>193525800</v>
      </c>
      <c r="N621" t="s">
        <v>1218</v>
      </c>
      <c r="O621" t="s">
        <v>134</v>
      </c>
      <c r="P621" t="s">
        <v>1207</v>
      </c>
      <c r="Q621" t="s">
        <v>1220</v>
      </c>
    </row>
    <row r="622" spans="1:17">
      <c r="A622">
        <v>2</v>
      </c>
      <c r="B622" t="s">
        <v>1213</v>
      </c>
      <c r="C622" t="s">
        <v>17</v>
      </c>
      <c r="D622" t="s">
        <v>107</v>
      </c>
      <c r="E622" t="s">
        <v>51</v>
      </c>
      <c r="F622">
        <v>12804</v>
      </c>
      <c r="G622" t="s">
        <v>103</v>
      </c>
      <c r="H622" t="s">
        <v>1252</v>
      </c>
      <c r="I622" t="s">
        <v>1253</v>
      </c>
      <c r="J622" t="s">
        <v>1255</v>
      </c>
      <c r="K622">
        <v>2025</v>
      </c>
      <c r="L622" t="s">
        <v>27</v>
      </c>
      <c r="M622">
        <v>99871200</v>
      </c>
      <c r="N622" t="s">
        <v>1218</v>
      </c>
      <c r="O622" t="s">
        <v>134</v>
      </c>
      <c r="P622" t="s">
        <v>1207</v>
      </c>
      <c r="Q622" t="s">
        <v>1220</v>
      </c>
    </row>
    <row r="623" spans="1:17">
      <c r="A623">
        <v>2</v>
      </c>
      <c r="B623" t="s">
        <v>1213</v>
      </c>
      <c r="C623" t="s">
        <v>17</v>
      </c>
      <c r="D623" t="s">
        <v>1238</v>
      </c>
      <c r="E623" t="s">
        <v>51</v>
      </c>
      <c r="F623">
        <v>10871</v>
      </c>
      <c r="G623" t="s">
        <v>103</v>
      </c>
      <c r="H623" t="s">
        <v>1252</v>
      </c>
      <c r="I623" t="s">
        <v>1253</v>
      </c>
      <c r="J623" t="s">
        <v>1256</v>
      </c>
      <c r="K623">
        <v>2025</v>
      </c>
      <c r="L623" t="s">
        <v>693</v>
      </c>
      <c r="M623">
        <v>84793800</v>
      </c>
      <c r="N623" t="s">
        <v>1218</v>
      </c>
      <c r="O623" t="s">
        <v>134</v>
      </c>
      <c r="P623" t="s">
        <v>1207</v>
      </c>
      <c r="Q623" t="s">
        <v>1220</v>
      </c>
    </row>
    <row r="624" spans="1:17">
      <c r="A624">
        <v>2</v>
      </c>
      <c r="B624" t="s">
        <v>1213</v>
      </c>
      <c r="C624" t="s">
        <v>17</v>
      </c>
      <c r="D624" t="s">
        <v>1226</v>
      </c>
      <c r="E624" t="s">
        <v>51</v>
      </c>
      <c r="F624">
        <v>3079</v>
      </c>
      <c r="G624" t="s">
        <v>103</v>
      </c>
      <c r="H624" t="s">
        <v>1252</v>
      </c>
      <c r="I624" t="s">
        <v>1253</v>
      </c>
      <c r="J624" t="s">
        <v>1257</v>
      </c>
      <c r="K624">
        <v>2025</v>
      </c>
      <c r="L624" t="s">
        <v>1228</v>
      </c>
      <c r="M624">
        <v>24016200</v>
      </c>
      <c r="N624" t="s">
        <v>1218</v>
      </c>
      <c r="O624" t="s">
        <v>134</v>
      </c>
      <c r="P624" t="s">
        <v>1207</v>
      </c>
      <c r="Q624" t="s">
        <v>1220</v>
      </c>
    </row>
    <row r="625" spans="1:17">
      <c r="A625">
        <v>2</v>
      </c>
      <c r="B625" t="s">
        <v>1213</v>
      </c>
      <c r="C625" t="s">
        <v>17</v>
      </c>
      <c r="D625" t="s">
        <v>1258</v>
      </c>
      <c r="E625" t="s">
        <v>51</v>
      </c>
      <c r="F625">
        <v>7792</v>
      </c>
      <c r="G625" t="s">
        <v>103</v>
      </c>
      <c r="H625" t="s">
        <v>1252</v>
      </c>
      <c r="I625" t="s">
        <v>1253</v>
      </c>
      <c r="J625" t="s">
        <v>1259</v>
      </c>
      <c r="K625">
        <v>2025</v>
      </c>
      <c r="L625" t="s">
        <v>1260</v>
      </c>
      <c r="M625">
        <v>60777600</v>
      </c>
      <c r="N625" t="s">
        <v>1218</v>
      </c>
      <c r="O625" t="s">
        <v>134</v>
      </c>
      <c r="P625" t="s">
        <v>1207</v>
      </c>
      <c r="Q625" t="s">
        <v>1220</v>
      </c>
    </row>
    <row r="626" spans="1:17">
      <c r="A626">
        <v>2</v>
      </c>
      <c r="B626" t="s">
        <v>1213</v>
      </c>
      <c r="C626" t="s">
        <v>17</v>
      </c>
      <c r="D626" t="s">
        <v>111</v>
      </c>
      <c r="E626" t="s">
        <v>51</v>
      </c>
      <c r="F626">
        <v>2056</v>
      </c>
      <c r="G626" t="s">
        <v>103</v>
      </c>
      <c r="H626" t="s">
        <v>1252</v>
      </c>
      <c r="I626" t="s">
        <v>1253</v>
      </c>
      <c r="J626" t="s">
        <v>1261</v>
      </c>
      <c r="K626">
        <v>2025</v>
      </c>
      <c r="L626" t="s">
        <v>35</v>
      </c>
      <c r="M626">
        <v>16036800</v>
      </c>
      <c r="N626" t="s">
        <v>1218</v>
      </c>
      <c r="O626" t="s">
        <v>134</v>
      </c>
      <c r="P626" t="s">
        <v>1207</v>
      </c>
      <c r="Q626" t="s">
        <v>1220</v>
      </c>
    </row>
    <row r="627" spans="1:17">
      <c r="A627">
        <v>2</v>
      </c>
      <c r="B627" t="s">
        <v>1213</v>
      </c>
      <c r="C627" t="s">
        <v>17</v>
      </c>
      <c r="D627" t="s">
        <v>1262</v>
      </c>
      <c r="E627" t="s">
        <v>51</v>
      </c>
      <c r="F627">
        <v>1820</v>
      </c>
      <c r="G627" t="s">
        <v>103</v>
      </c>
      <c r="H627" t="s">
        <v>1252</v>
      </c>
      <c r="I627" t="s">
        <v>1253</v>
      </c>
      <c r="J627" t="s">
        <v>1263</v>
      </c>
      <c r="K627">
        <v>2025</v>
      </c>
      <c r="L627" t="s">
        <v>1264</v>
      </c>
      <c r="M627">
        <v>14196000</v>
      </c>
      <c r="N627" t="s">
        <v>1218</v>
      </c>
      <c r="O627" t="s">
        <v>134</v>
      </c>
      <c r="P627" t="s">
        <v>1207</v>
      </c>
      <c r="Q627" t="s">
        <v>1220</v>
      </c>
    </row>
    <row r="628" spans="1:17">
      <c r="A628">
        <v>2</v>
      </c>
      <c r="B628" t="s">
        <v>1213</v>
      </c>
      <c r="C628" t="s">
        <v>17</v>
      </c>
      <c r="D628" t="s">
        <v>1265</v>
      </c>
      <c r="E628" t="s">
        <v>51</v>
      </c>
      <c r="F628">
        <v>443</v>
      </c>
      <c r="G628" t="s">
        <v>103</v>
      </c>
      <c r="H628" t="s">
        <v>1252</v>
      </c>
      <c r="I628" t="s">
        <v>1253</v>
      </c>
      <c r="J628" t="s">
        <v>1266</v>
      </c>
      <c r="K628">
        <v>2025</v>
      </c>
      <c r="L628" t="s">
        <v>1267</v>
      </c>
      <c r="M628">
        <v>3455400</v>
      </c>
      <c r="N628" t="s">
        <v>1218</v>
      </c>
      <c r="O628" t="s">
        <v>134</v>
      </c>
      <c r="P628" t="s">
        <v>1207</v>
      </c>
      <c r="Q628" t="s">
        <v>1220</v>
      </c>
    </row>
    <row r="629" spans="1:17">
      <c r="A629">
        <v>2</v>
      </c>
      <c r="B629" t="s">
        <v>1213</v>
      </c>
      <c r="C629" t="s">
        <v>17</v>
      </c>
      <c r="D629" t="s">
        <v>1214</v>
      </c>
      <c r="E629" t="s">
        <v>51</v>
      </c>
      <c r="F629">
        <v>1377</v>
      </c>
      <c r="G629" t="s">
        <v>103</v>
      </c>
      <c r="H629" t="s">
        <v>1252</v>
      </c>
      <c r="I629" t="s">
        <v>1253</v>
      </c>
      <c r="J629" t="s">
        <v>1268</v>
      </c>
      <c r="K629">
        <v>2025</v>
      </c>
      <c r="L629" t="s">
        <v>150</v>
      </c>
      <c r="M629">
        <v>10740600</v>
      </c>
      <c r="N629" t="s">
        <v>1218</v>
      </c>
      <c r="O629" t="s">
        <v>134</v>
      </c>
      <c r="P629" t="s">
        <v>1207</v>
      </c>
      <c r="Q629" t="s">
        <v>1220</v>
      </c>
    </row>
    <row r="630" spans="1:17">
      <c r="A630">
        <v>2</v>
      </c>
      <c r="B630" t="s">
        <v>1213</v>
      </c>
      <c r="C630" t="s">
        <v>17</v>
      </c>
      <c r="D630" t="s">
        <v>149</v>
      </c>
      <c r="E630" t="s">
        <v>51</v>
      </c>
      <c r="F630">
        <v>1385</v>
      </c>
      <c r="G630" t="s">
        <v>103</v>
      </c>
      <c r="H630" t="s">
        <v>1252</v>
      </c>
      <c r="I630" t="s">
        <v>1253</v>
      </c>
      <c r="J630" t="s">
        <v>1269</v>
      </c>
      <c r="K630">
        <v>2025</v>
      </c>
      <c r="L630" t="s">
        <v>1270</v>
      </c>
      <c r="M630">
        <v>10803000</v>
      </c>
      <c r="N630" t="s">
        <v>1218</v>
      </c>
      <c r="O630" t="s">
        <v>134</v>
      </c>
      <c r="P630" t="s">
        <v>1207</v>
      </c>
      <c r="Q630" t="s">
        <v>1220</v>
      </c>
    </row>
    <row r="631" spans="1:17">
      <c r="A631">
        <v>2</v>
      </c>
      <c r="B631" t="s">
        <v>1213</v>
      </c>
      <c r="C631" t="s">
        <v>17</v>
      </c>
      <c r="D631" t="s">
        <v>1271</v>
      </c>
      <c r="E631" t="s">
        <v>51</v>
      </c>
      <c r="F631">
        <v>1340</v>
      </c>
      <c r="G631" t="s">
        <v>103</v>
      </c>
      <c r="H631" t="s">
        <v>1252</v>
      </c>
      <c r="I631" t="s">
        <v>1253</v>
      </c>
      <c r="J631" t="s">
        <v>1272</v>
      </c>
      <c r="K631">
        <v>2025</v>
      </c>
      <c r="L631" t="s">
        <v>1223</v>
      </c>
      <c r="M631">
        <v>10452000</v>
      </c>
      <c r="N631" t="s">
        <v>1218</v>
      </c>
      <c r="O631" t="s">
        <v>134</v>
      </c>
      <c r="P631" t="s">
        <v>1207</v>
      </c>
      <c r="Q631" t="s">
        <v>1220</v>
      </c>
    </row>
    <row r="632" spans="1:17">
      <c r="A632">
        <v>2</v>
      </c>
      <c r="B632" t="s">
        <v>1213</v>
      </c>
      <c r="C632" t="s">
        <v>17</v>
      </c>
      <c r="D632" t="s">
        <v>1273</v>
      </c>
      <c r="E632" t="s">
        <v>51</v>
      </c>
      <c r="F632">
        <v>51.6</v>
      </c>
      <c r="G632" t="s">
        <v>30</v>
      </c>
      <c r="H632" t="s">
        <v>1252</v>
      </c>
      <c r="I632" t="s">
        <v>1253</v>
      </c>
      <c r="J632" t="s">
        <v>1274</v>
      </c>
      <c r="K632">
        <v>2025</v>
      </c>
      <c r="L632" t="s">
        <v>29</v>
      </c>
      <c r="M632">
        <v>51.6</v>
      </c>
      <c r="N632" t="s">
        <v>1275</v>
      </c>
      <c r="O632" t="s">
        <v>134</v>
      </c>
      <c r="P632" t="s">
        <v>1207</v>
      </c>
      <c r="Q632" t="s">
        <v>1220</v>
      </c>
    </row>
    <row r="633" spans="1:17">
      <c r="A633">
        <v>2</v>
      </c>
      <c r="B633" t="s">
        <v>1213</v>
      </c>
      <c r="C633" t="s">
        <v>17</v>
      </c>
      <c r="D633" t="s">
        <v>1276</v>
      </c>
      <c r="E633" t="s">
        <v>51</v>
      </c>
      <c r="F633">
        <v>8.3000000000000007</v>
      </c>
      <c r="G633" t="s">
        <v>30</v>
      </c>
      <c r="H633" t="s">
        <v>1252</v>
      </c>
      <c r="I633" t="s">
        <v>1253</v>
      </c>
      <c r="J633" t="s">
        <v>1277</v>
      </c>
      <c r="K633">
        <v>2025</v>
      </c>
      <c r="L633" t="s">
        <v>115</v>
      </c>
      <c r="M633">
        <v>8.3000000000000007</v>
      </c>
      <c r="N633" t="s">
        <v>1275</v>
      </c>
      <c r="O633" t="s">
        <v>134</v>
      </c>
      <c r="P633" t="s">
        <v>1207</v>
      </c>
      <c r="Q633" t="s">
        <v>1220</v>
      </c>
    </row>
    <row r="634" spans="1:17">
      <c r="A634">
        <v>2</v>
      </c>
      <c r="B634" t="s">
        <v>1213</v>
      </c>
      <c r="C634" t="s">
        <v>17</v>
      </c>
      <c r="D634" t="s">
        <v>1278</v>
      </c>
      <c r="E634" t="s">
        <v>51</v>
      </c>
      <c r="F634">
        <v>5.6</v>
      </c>
      <c r="G634" t="s">
        <v>30</v>
      </c>
      <c r="H634" t="s">
        <v>1252</v>
      </c>
      <c r="I634" t="s">
        <v>1253</v>
      </c>
      <c r="J634" t="s">
        <v>1279</v>
      </c>
      <c r="K634">
        <v>2025</v>
      </c>
      <c r="L634" t="s">
        <v>36</v>
      </c>
      <c r="M634">
        <v>5.6</v>
      </c>
      <c r="N634" t="s">
        <v>1275</v>
      </c>
      <c r="O634" t="s">
        <v>134</v>
      </c>
      <c r="P634" t="s">
        <v>1207</v>
      </c>
      <c r="Q634" t="s">
        <v>1220</v>
      </c>
    </row>
    <row r="635" spans="1:17">
      <c r="A635">
        <v>2</v>
      </c>
      <c r="B635" t="s">
        <v>1213</v>
      </c>
      <c r="C635" t="s">
        <v>17</v>
      </c>
      <c r="D635" t="s">
        <v>1280</v>
      </c>
      <c r="E635" t="s">
        <v>51</v>
      </c>
      <c r="F635">
        <v>5.6</v>
      </c>
      <c r="G635" t="s">
        <v>30</v>
      </c>
      <c r="H635" t="s">
        <v>1252</v>
      </c>
      <c r="I635" t="s">
        <v>1253</v>
      </c>
      <c r="J635" t="s">
        <v>1281</v>
      </c>
      <c r="K635">
        <v>2025</v>
      </c>
      <c r="L635" t="s">
        <v>1282</v>
      </c>
      <c r="M635">
        <v>5.6</v>
      </c>
      <c r="N635" t="s">
        <v>1275</v>
      </c>
      <c r="O635" t="s">
        <v>134</v>
      </c>
      <c r="P635" t="s">
        <v>1207</v>
      </c>
      <c r="Q635" t="s">
        <v>1220</v>
      </c>
    </row>
    <row r="636" spans="1:17">
      <c r="A636">
        <v>2</v>
      </c>
      <c r="B636" t="s">
        <v>1213</v>
      </c>
      <c r="C636" t="s">
        <v>17</v>
      </c>
      <c r="D636" t="s">
        <v>1283</v>
      </c>
      <c r="E636" t="s">
        <v>51</v>
      </c>
      <c r="F636">
        <v>43.8</v>
      </c>
      <c r="G636" t="s">
        <v>30</v>
      </c>
      <c r="H636" t="s">
        <v>1252</v>
      </c>
      <c r="I636" t="s">
        <v>1253</v>
      </c>
      <c r="J636" t="s">
        <v>1284</v>
      </c>
      <c r="K636">
        <v>2025</v>
      </c>
      <c r="L636" t="s">
        <v>203</v>
      </c>
      <c r="M636">
        <v>43.8</v>
      </c>
      <c r="N636" t="s">
        <v>1275</v>
      </c>
      <c r="O636" t="s">
        <v>134</v>
      </c>
      <c r="P636" t="s">
        <v>1207</v>
      </c>
      <c r="Q636" t="s">
        <v>1220</v>
      </c>
    </row>
    <row r="637" spans="1:17">
      <c r="A637">
        <v>2</v>
      </c>
      <c r="B637" t="s">
        <v>1213</v>
      </c>
      <c r="C637" t="s">
        <v>17</v>
      </c>
      <c r="D637" t="s">
        <v>1285</v>
      </c>
      <c r="E637" t="s">
        <v>51</v>
      </c>
      <c r="F637">
        <v>12.4</v>
      </c>
      <c r="G637" t="s">
        <v>30</v>
      </c>
      <c r="H637" t="s">
        <v>1252</v>
      </c>
      <c r="I637" t="s">
        <v>1253</v>
      </c>
      <c r="J637" t="s">
        <v>1286</v>
      </c>
      <c r="K637">
        <v>2025</v>
      </c>
      <c r="L637" t="s">
        <v>1287</v>
      </c>
      <c r="M637">
        <v>12.4</v>
      </c>
      <c r="N637" t="s">
        <v>1275</v>
      </c>
      <c r="O637" t="s">
        <v>134</v>
      </c>
      <c r="P637" t="s">
        <v>1207</v>
      </c>
      <c r="Q637" t="s">
        <v>1220</v>
      </c>
    </row>
    <row r="638" spans="1:17">
      <c r="A638">
        <v>2</v>
      </c>
      <c r="B638" t="s">
        <v>1213</v>
      </c>
      <c r="C638" t="s">
        <v>17</v>
      </c>
      <c r="D638" t="s">
        <v>1288</v>
      </c>
      <c r="E638" t="s">
        <v>51</v>
      </c>
      <c r="F638">
        <v>31.4</v>
      </c>
      <c r="G638" t="s">
        <v>30</v>
      </c>
      <c r="H638" t="s">
        <v>1252</v>
      </c>
      <c r="I638" t="s">
        <v>1253</v>
      </c>
      <c r="J638" t="s">
        <v>1289</v>
      </c>
      <c r="K638">
        <v>2025</v>
      </c>
      <c r="L638" t="s">
        <v>1290</v>
      </c>
      <c r="M638">
        <v>31.4</v>
      </c>
      <c r="N638" t="s">
        <v>1275</v>
      </c>
      <c r="O638" t="s">
        <v>134</v>
      </c>
      <c r="P638" t="s">
        <v>1207</v>
      </c>
      <c r="Q638" t="s">
        <v>1220</v>
      </c>
    </row>
    <row r="639" spans="1:17">
      <c r="A639">
        <v>2</v>
      </c>
      <c r="B639" t="s">
        <v>1213</v>
      </c>
      <c r="C639" t="s">
        <v>17</v>
      </c>
      <c r="D639" t="s">
        <v>1291</v>
      </c>
      <c r="E639" t="s">
        <v>51</v>
      </c>
      <c r="F639">
        <v>7.3</v>
      </c>
      <c r="G639" t="s">
        <v>30</v>
      </c>
      <c r="H639" t="s">
        <v>1252</v>
      </c>
      <c r="I639" t="s">
        <v>1253</v>
      </c>
      <c r="J639" t="s">
        <v>1292</v>
      </c>
      <c r="K639">
        <v>2025</v>
      </c>
      <c r="L639" t="s">
        <v>1293</v>
      </c>
      <c r="M639">
        <v>7.3</v>
      </c>
      <c r="N639" t="s">
        <v>1275</v>
      </c>
      <c r="O639" t="s">
        <v>134</v>
      </c>
      <c r="P639" t="s">
        <v>1207</v>
      </c>
      <c r="Q639" t="s">
        <v>1220</v>
      </c>
    </row>
    <row r="640" spans="1:17">
      <c r="A640">
        <v>2</v>
      </c>
      <c r="B640" t="s">
        <v>1213</v>
      </c>
      <c r="C640" t="s">
        <v>17</v>
      </c>
      <c r="D640" t="s">
        <v>1294</v>
      </c>
      <c r="E640" t="s">
        <v>51</v>
      </c>
      <c r="F640">
        <v>24.3</v>
      </c>
      <c r="G640" t="s">
        <v>30</v>
      </c>
      <c r="H640" t="s">
        <v>1252</v>
      </c>
      <c r="I640" t="s">
        <v>1253</v>
      </c>
      <c r="J640" t="s">
        <v>1295</v>
      </c>
      <c r="K640">
        <v>2025</v>
      </c>
      <c r="L640" t="s">
        <v>1296</v>
      </c>
      <c r="M640">
        <v>24.3</v>
      </c>
      <c r="N640" t="s">
        <v>1275</v>
      </c>
      <c r="O640" t="s">
        <v>134</v>
      </c>
      <c r="P640" t="s">
        <v>1207</v>
      </c>
      <c r="Q640" t="s">
        <v>1220</v>
      </c>
    </row>
    <row r="641" spans="1:17">
      <c r="A641">
        <v>2</v>
      </c>
      <c r="B641" t="s">
        <v>1213</v>
      </c>
      <c r="C641" t="s">
        <v>17</v>
      </c>
      <c r="D641" t="s">
        <v>1273</v>
      </c>
      <c r="E641" t="s">
        <v>57</v>
      </c>
      <c r="F641">
        <v>50.8</v>
      </c>
      <c r="G641" t="s">
        <v>30</v>
      </c>
      <c r="H641" t="s">
        <v>1215</v>
      </c>
      <c r="I641" t="s">
        <v>1216</v>
      </c>
      <c r="J641" t="s">
        <v>1297</v>
      </c>
      <c r="K641">
        <v>2024</v>
      </c>
      <c r="L641" t="s">
        <v>29</v>
      </c>
      <c r="M641">
        <v>50.8</v>
      </c>
      <c r="N641" t="s">
        <v>1275</v>
      </c>
      <c r="O641" t="s">
        <v>134</v>
      </c>
      <c r="P641" t="s">
        <v>1207</v>
      </c>
      <c r="Q641" t="s">
        <v>1220</v>
      </c>
    </row>
    <row r="642" spans="1:17">
      <c r="A642">
        <v>2</v>
      </c>
      <c r="B642" t="s">
        <v>1213</v>
      </c>
      <c r="C642" t="s">
        <v>17</v>
      </c>
      <c r="D642" t="s">
        <v>1276</v>
      </c>
      <c r="E642" t="s">
        <v>57</v>
      </c>
      <c r="F642">
        <v>5.6</v>
      </c>
      <c r="G642" t="s">
        <v>30</v>
      </c>
      <c r="H642" t="s">
        <v>1215</v>
      </c>
      <c r="I642" t="s">
        <v>1216</v>
      </c>
      <c r="J642" t="s">
        <v>1298</v>
      </c>
      <c r="K642">
        <v>2024</v>
      </c>
      <c r="L642" t="s">
        <v>115</v>
      </c>
      <c r="M642">
        <v>5.6</v>
      </c>
      <c r="N642" t="s">
        <v>1275</v>
      </c>
      <c r="O642" t="s">
        <v>134</v>
      </c>
      <c r="P642" t="s">
        <v>1207</v>
      </c>
      <c r="Q642" t="s">
        <v>1220</v>
      </c>
    </row>
    <row r="643" spans="1:17">
      <c r="A643">
        <v>2</v>
      </c>
      <c r="B643" t="s">
        <v>1213</v>
      </c>
      <c r="C643" t="s">
        <v>17</v>
      </c>
      <c r="D643" t="s">
        <v>1278</v>
      </c>
      <c r="E643" t="s">
        <v>57</v>
      </c>
      <c r="F643">
        <v>3.5</v>
      </c>
      <c r="G643" t="s">
        <v>30</v>
      </c>
      <c r="H643" t="s">
        <v>1215</v>
      </c>
      <c r="I643" t="s">
        <v>1216</v>
      </c>
      <c r="J643" t="s">
        <v>1299</v>
      </c>
      <c r="K643">
        <v>2024</v>
      </c>
      <c r="L643" t="s">
        <v>36</v>
      </c>
      <c r="M643">
        <v>3.5</v>
      </c>
      <c r="N643" t="s">
        <v>1275</v>
      </c>
      <c r="O643" t="s">
        <v>134</v>
      </c>
      <c r="P643" t="s">
        <v>1207</v>
      </c>
      <c r="Q643" t="s">
        <v>1220</v>
      </c>
    </row>
    <row r="644" spans="1:17">
      <c r="A644">
        <v>2</v>
      </c>
      <c r="B644" t="s">
        <v>1213</v>
      </c>
      <c r="C644" t="s">
        <v>17</v>
      </c>
      <c r="D644" t="s">
        <v>1280</v>
      </c>
      <c r="E644" t="s">
        <v>57</v>
      </c>
      <c r="F644">
        <v>3.5</v>
      </c>
      <c r="G644" t="s">
        <v>30</v>
      </c>
      <c r="H644" t="s">
        <v>1215</v>
      </c>
      <c r="I644" t="s">
        <v>1216</v>
      </c>
      <c r="J644" t="s">
        <v>1300</v>
      </c>
      <c r="K644">
        <v>2024</v>
      </c>
      <c r="L644" t="s">
        <v>1282</v>
      </c>
      <c r="M644">
        <v>3.5</v>
      </c>
      <c r="N644" t="s">
        <v>1275</v>
      </c>
      <c r="O644" t="s">
        <v>134</v>
      </c>
      <c r="P644" t="s">
        <v>1207</v>
      </c>
      <c r="Q644" t="s">
        <v>1220</v>
      </c>
    </row>
    <row r="645" spans="1:17">
      <c r="A645">
        <v>2</v>
      </c>
      <c r="B645" t="s">
        <v>1213</v>
      </c>
      <c r="C645" t="s">
        <v>17</v>
      </c>
      <c r="D645" t="s">
        <v>1283</v>
      </c>
      <c r="E645" t="s">
        <v>57</v>
      </c>
      <c r="F645">
        <v>46.2</v>
      </c>
      <c r="G645" t="s">
        <v>30</v>
      </c>
      <c r="H645" t="s">
        <v>1215</v>
      </c>
      <c r="I645" t="s">
        <v>1216</v>
      </c>
      <c r="J645" t="s">
        <v>1301</v>
      </c>
      <c r="K645">
        <v>2024</v>
      </c>
      <c r="L645" t="s">
        <v>203</v>
      </c>
      <c r="M645">
        <v>46.2</v>
      </c>
      <c r="N645" t="s">
        <v>1275</v>
      </c>
      <c r="O645" t="s">
        <v>134</v>
      </c>
      <c r="P645" t="s">
        <v>1207</v>
      </c>
      <c r="Q645" t="s">
        <v>1220</v>
      </c>
    </row>
    <row r="646" spans="1:17">
      <c r="A646">
        <v>2</v>
      </c>
      <c r="B646" t="s">
        <v>1213</v>
      </c>
      <c r="C646" t="s">
        <v>17</v>
      </c>
      <c r="D646" t="s">
        <v>1285</v>
      </c>
      <c r="E646" t="s">
        <v>57</v>
      </c>
      <c r="F646">
        <v>12</v>
      </c>
      <c r="G646" t="s">
        <v>30</v>
      </c>
      <c r="H646" t="s">
        <v>1215</v>
      </c>
      <c r="I646" t="s">
        <v>1216</v>
      </c>
      <c r="J646" t="s">
        <v>1302</v>
      </c>
      <c r="K646">
        <v>2024</v>
      </c>
      <c r="L646" t="s">
        <v>1287</v>
      </c>
      <c r="M646">
        <v>12</v>
      </c>
      <c r="N646" t="s">
        <v>1275</v>
      </c>
      <c r="O646" t="s">
        <v>134</v>
      </c>
      <c r="P646" t="s">
        <v>1207</v>
      </c>
      <c r="Q646" t="s">
        <v>1220</v>
      </c>
    </row>
    <row r="647" spans="1:17">
      <c r="A647">
        <v>2</v>
      </c>
      <c r="B647" t="s">
        <v>1213</v>
      </c>
      <c r="C647" t="s">
        <v>17</v>
      </c>
      <c r="D647" t="s">
        <v>1288</v>
      </c>
      <c r="E647" t="s">
        <v>57</v>
      </c>
      <c r="F647">
        <v>34.200000000000003</v>
      </c>
      <c r="G647" t="s">
        <v>30</v>
      </c>
      <c r="H647" t="s">
        <v>1215</v>
      </c>
      <c r="I647" t="s">
        <v>1216</v>
      </c>
      <c r="J647" t="s">
        <v>1303</v>
      </c>
      <c r="K647">
        <v>2024</v>
      </c>
      <c r="L647" t="s">
        <v>1290</v>
      </c>
      <c r="M647">
        <v>34.200000000000003</v>
      </c>
      <c r="N647" t="s">
        <v>1275</v>
      </c>
      <c r="O647" t="s">
        <v>134</v>
      </c>
      <c r="P647" t="s">
        <v>1207</v>
      </c>
      <c r="Q647" t="s">
        <v>1220</v>
      </c>
    </row>
    <row r="648" spans="1:17">
      <c r="A648">
        <v>2</v>
      </c>
      <c r="B648" t="s">
        <v>1213</v>
      </c>
      <c r="C648" t="s">
        <v>17</v>
      </c>
      <c r="D648" t="s">
        <v>1273</v>
      </c>
      <c r="E648" t="s">
        <v>62</v>
      </c>
      <c r="F648">
        <v>47.5</v>
      </c>
      <c r="G648" t="s">
        <v>30</v>
      </c>
      <c r="H648" t="s">
        <v>1215</v>
      </c>
      <c r="I648" t="s">
        <v>1216</v>
      </c>
      <c r="J648" t="s">
        <v>1304</v>
      </c>
      <c r="K648">
        <v>2023</v>
      </c>
      <c r="L648" t="s">
        <v>29</v>
      </c>
      <c r="M648">
        <v>47.5</v>
      </c>
      <c r="N648" t="s">
        <v>1275</v>
      </c>
      <c r="O648" t="s">
        <v>134</v>
      </c>
      <c r="P648" t="s">
        <v>1207</v>
      </c>
      <c r="Q648" t="s">
        <v>1220</v>
      </c>
    </row>
    <row r="649" spans="1:17">
      <c r="A649">
        <v>2</v>
      </c>
      <c r="B649" t="s">
        <v>1213</v>
      </c>
      <c r="C649" t="s">
        <v>17</v>
      </c>
      <c r="D649" t="s">
        <v>1276</v>
      </c>
      <c r="E649" t="s">
        <v>62</v>
      </c>
      <c r="F649">
        <v>1.3</v>
      </c>
      <c r="G649" t="s">
        <v>30</v>
      </c>
      <c r="H649" t="s">
        <v>1215</v>
      </c>
      <c r="I649" t="s">
        <v>1216</v>
      </c>
      <c r="J649" t="s">
        <v>1305</v>
      </c>
      <c r="K649">
        <v>2023</v>
      </c>
      <c r="L649" t="s">
        <v>115</v>
      </c>
      <c r="M649">
        <v>1.3</v>
      </c>
      <c r="N649" t="s">
        <v>1275</v>
      </c>
      <c r="O649" t="s">
        <v>134</v>
      </c>
      <c r="P649" t="s">
        <v>1207</v>
      </c>
      <c r="Q649" t="s">
        <v>1220</v>
      </c>
    </row>
    <row r="650" spans="1:17">
      <c r="A650">
        <v>2</v>
      </c>
      <c r="B650" t="s">
        <v>1213</v>
      </c>
      <c r="C650" t="s">
        <v>17</v>
      </c>
      <c r="D650" t="s">
        <v>1278</v>
      </c>
      <c r="E650" t="s">
        <v>62</v>
      </c>
      <c r="F650">
        <v>-0.3</v>
      </c>
      <c r="G650" t="s">
        <v>30</v>
      </c>
      <c r="H650" t="s">
        <v>1215</v>
      </c>
      <c r="I650" t="s">
        <v>1216</v>
      </c>
      <c r="J650" t="s">
        <v>1306</v>
      </c>
      <c r="K650">
        <v>2023</v>
      </c>
      <c r="L650" t="s">
        <v>36</v>
      </c>
      <c r="M650">
        <v>-0.3</v>
      </c>
      <c r="N650" t="s">
        <v>1275</v>
      </c>
      <c r="O650" t="s">
        <v>134</v>
      </c>
      <c r="P650" t="s">
        <v>1207</v>
      </c>
      <c r="Q650" t="s">
        <v>1220</v>
      </c>
    </row>
    <row r="651" spans="1:17">
      <c r="A651">
        <v>2</v>
      </c>
      <c r="B651" t="s">
        <v>1213</v>
      </c>
      <c r="C651" t="s">
        <v>17</v>
      </c>
      <c r="D651" t="s">
        <v>1280</v>
      </c>
      <c r="E651" t="s">
        <v>62</v>
      </c>
      <c r="F651">
        <v>-0.1</v>
      </c>
      <c r="G651" t="s">
        <v>30</v>
      </c>
      <c r="H651" t="s">
        <v>1215</v>
      </c>
      <c r="I651" t="s">
        <v>1216</v>
      </c>
      <c r="J651" t="s">
        <v>1307</v>
      </c>
      <c r="K651">
        <v>2023</v>
      </c>
      <c r="L651" t="s">
        <v>1282</v>
      </c>
      <c r="M651">
        <v>-0.1</v>
      </c>
      <c r="N651" t="s">
        <v>1275</v>
      </c>
      <c r="O651" t="s">
        <v>134</v>
      </c>
      <c r="P651" t="s">
        <v>1207</v>
      </c>
      <c r="Q651" t="s">
        <v>1220</v>
      </c>
    </row>
    <row r="652" spans="1:17">
      <c r="A652">
        <v>2</v>
      </c>
      <c r="B652" t="s">
        <v>1213</v>
      </c>
      <c r="C652" t="s">
        <v>17</v>
      </c>
      <c r="D652" t="s">
        <v>1283</v>
      </c>
      <c r="E652" t="s">
        <v>62</v>
      </c>
      <c r="F652">
        <v>47</v>
      </c>
      <c r="G652" t="s">
        <v>30</v>
      </c>
      <c r="H652" t="s">
        <v>1215</v>
      </c>
      <c r="I652" t="s">
        <v>1216</v>
      </c>
      <c r="J652" t="s">
        <v>1308</v>
      </c>
      <c r="K652">
        <v>2023</v>
      </c>
      <c r="L652" t="s">
        <v>203</v>
      </c>
      <c r="M652">
        <v>47</v>
      </c>
      <c r="N652" t="s">
        <v>1275</v>
      </c>
      <c r="O652" t="s">
        <v>134</v>
      </c>
      <c r="P652" t="s">
        <v>1207</v>
      </c>
      <c r="Q652" t="s">
        <v>1220</v>
      </c>
    </row>
    <row r="653" spans="1:17">
      <c r="A653">
        <v>2</v>
      </c>
      <c r="B653" t="s">
        <v>1213</v>
      </c>
      <c r="C653" t="s">
        <v>17</v>
      </c>
      <c r="D653" t="s">
        <v>1285</v>
      </c>
      <c r="E653" t="s">
        <v>62</v>
      </c>
      <c r="F653">
        <v>11.8</v>
      </c>
      <c r="G653" t="s">
        <v>30</v>
      </c>
      <c r="H653" t="s">
        <v>1215</v>
      </c>
      <c r="I653" t="s">
        <v>1216</v>
      </c>
      <c r="J653" t="s">
        <v>1309</v>
      </c>
      <c r="K653">
        <v>2023</v>
      </c>
      <c r="L653" t="s">
        <v>1287</v>
      </c>
      <c r="M653">
        <v>11.8</v>
      </c>
      <c r="N653" t="s">
        <v>1275</v>
      </c>
      <c r="O653" t="s">
        <v>134</v>
      </c>
      <c r="P653" t="s">
        <v>1207</v>
      </c>
      <c r="Q653" t="s">
        <v>1220</v>
      </c>
    </row>
    <row r="654" spans="1:17">
      <c r="A654">
        <v>2</v>
      </c>
      <c r="B654" t="s">
        <v>1213</v>
      </c>
      <c r="C654" t="s">
        <v>17</v>
      </c>
      <c r="D654" t="s">
        <v>1288</v>
      </c>
      <c r="E654" t="s">
        <v>62</v>
      </c>
      <c r="F654">
        <v>35.200000000000003</v>
      </c>
      <c r="G654" t="s">
        <v>30</v>
      </c>
      <c r="H654" t="s">
        <v>1215</v>
      </c>
      <c r="I654" t="s">
        <v>1216</v>
      </c>
      <c r="J654" t="s">
        <v>1310</v>
      </c>
      <c r="K654">
        <v>2023</v>
      </c>
      <c r="L654" t="s">
        <v>1290</v>
      </c>
      <c r="M654">
        <v>35.200000000000003</v>
      </c>
      <c r="N654" t="s">
        <v>1275</v>
      </c>
      <c r="O654" t="s">
        <v>134</v>
      </c>
      <c r="P654" t="s">
        <v>1207</v>
      </c>
      <c r="Q654" t="s">
        <v>1220</v>
      </c>
    </row>
    <row r="655" spans="1:17">
      <c r="A655">
        <v>28</v>
      </c>
      <c r="B655" t="s">
        <v>1327</v>
      </c>
      <c r="C655" t="s">
        <v>17</v>
      </c>
      <c r="D655" t="s">
        <v>102</v>
      </c>
      <c r="E655" t="s">
        <v>57</v>
      </c>
      <c r="F655">
        <v>16200</v>
      </c>
      <c r="G655" t="s">
        <v>103</v>
      </c>
      <c r="H655" t="s">
        <v>1328</v>
      </c>
      <c r="I655" t="s">
        <v>1329</v>
      </c>
      <c r="J655" t="s">
        <v>1330</v>
      </c>
      <c r="K655">
        <v>2024</v>
      </c>
      <c r="L655" t="s">
        <v>23</v>
      </c>
      <c r="M655">
        <v>126360000</v>
      </c>
      <c r="N655" t="s">
        <v>1218</v>
      </c>
      <c r="O655" t="s">
        <v>134</v>
      </c>
      <c r="P655" t="s">
        <v>1207</v>
      </c>
      <c r="Q655" t="s">
        <v>1220</v>
      </c>
    </row>
    <row r="656" spans="1:17">
      <c r="A656">
        <v>28</v>
      </c>
      <c r="B656" t="s">
        <v>1327</v>
      </c>
      <c r="C656" t="s">
        <v>17</v>
      </c>
      <c r="D656" t="s">
        <v>1331</v>
      </c>
      <c r="E656" t="s">
        <v>57</v>
      </c>
      <c r="F656">
        <v>787</v>
      </c>
      <c r="G656" t="s">
        <v>103</v>
      </c>
      <c r="H656" t="s">
        <v>1328</v>
      </c>
      <c r="I656" t="s">
        <v>1329</v>
      </c>
      <c r="J656" t="s">
        <v>1332</v>
      </c>
      <c r="K656">
        <v>2024</v>
      </c>
      <c r="L656" t="s">
        <v>150</v>
      </c>
      <c r="M656">
        <v>6138600</v>
      </c>
      <c r="N656" t="s">
        <v>1218</v>
      </c>
      <c r="O656" t="s">
        <v>1333</v>
      </c>
      <c r="P656" t="s">
        <v>1207</v>
      </c>
      <c r="Q656" t="s">
        <v>1220</v>
      </c>
    </row>
    <row r="657" spans="1:17">
      <c r="A657">
        <v>28</v>
      </c>
      <c r="B657" t="s">
        <v>1327</v>
      </c>
      <c r="C657" t="s">
        <v>17</v>
      </c>
      <c r="D657" t="s">
        <v>102</v>
      </c>
      <c r="E657" t="s">
        <v>62</v>
      </c>
      <c r="F657">
        <v>15600</v>
      </c>
      <c r="G657" t="s">
        <v>103</v>
      </c>
      <c r="H657" t="s">
        <v>1334</v>
      </c>
      <c r="I657" t="s">
        <v>1335</v>
      </c>
      <c r="J657" t="s">
        <v>1336</v>
      </c>
      <c r="K657">
        <v>2023</v>
      </c>
      <c r="L657" t="s">
        <v>23</v>
      </c>
      <c r="M657">
        <v>121680000</v>
      </c>
      <c r="N657" t="s">
        <v>1218</v>
      </c>
      <c r="O657" t="s">
        <v>134</v>
      </c>
      <c r="P657" t="s">
        <v>1207</v>
      </c>
      <c r="Q657" t="s">
        <v>1220</v>
      </c>
    </row>
    <row r="658" spans="1:17">
      <c r="A658">
        <v>28</v>
      </c>
      <c r="B658" t="s">
        <v>1327</v>
      </c>
      <c r="C658" t="s">
        <v>17</v>
      </c>
      <c r="D658" t="s">
        <v>1331</v>
      </c>
      <c r="E658" t="s">
        <v>62</v>
      </c>
      <c r="F658">
        <v>931</v>
      </c>
      <c r="G658" t="s">
        <v>103</v>
      </c>
      <c r="H658" t="s">
        <v>1334</v>
      </c>
      <c r="I658" t="s">
        <v>1335</v>
      </c>
      <c r="J658" t="s">
        <v>1337</v>
      </c>
      <c r="K658">
        <v>2023</v>
      </c>
      <c r="L658" t="s">
        <v>150</v>
      </c>
      <c r="M658">
        <v>7261800</v>
      </c>
      <c r="N658" t="s">
        <v>1218</v>
      </c>
      <c r="O658" t="s">
        <v>134</v>
      </c>
      <c r="P658" t="s">
        <v>1207</v>
      </c>
      <c r="Q658" t="s">
        <v>1220</v>
      </c>
    </row>
    <row r="659" spans="1:17">
      <c r="A659">
        <v>28</v>
      </c>
      <c r="B659" t="s">
        <v>1327</v>
      </c>
      <c r="C659" t="s">
        <v>17</v>
      </c>
      <c r="D659" t="s">
        <v>102</v>
      </c>
      <c r="E659" t="s">
        <v>1338</v>
      </c>
      <c r="F659">
        <v>15400</v>
      </c>
      <c r="G659" t="s">
        <v>103</v>
      </c>
      <c r="H659" t="s">
        <v>1339</v>
      </c>
      <c r="I659" t="s">
        <v>1335</v>
      </c>
      <c r="J659" t="s">
        <v>1340</v>
      </c>
      <c r="K659">
        <v>2022</v>
      </c>
      <c r="L659" t="s">
        <v>23</v>
      </c>
      <c r="M659">
        <v>120120000</v>
      </c>
      <c r="N659" t="s">
        <v>1218</v>
      </c>
      <c r="O659" t="s">
        <v>134</v>
      </c>
      <c r="P659" t="s">
        <v>1207</v>
      </c>
      <c r="Q659" t="s">
        <v>1220</v>
      </c>
    </row>
    <row r="660" spans="1:17">
      <c r="A660">
        <v>28</v>
      </c>
      <c r="B660" t="s">
        <v>1327</v>
      </c>
      <c r="C660" t="s">
        <v>17</v>
      </c>
      <c r="D660" t="s">
        <v>1331</v>
      </c>
      <c r="E660" t="s">
        <v>1338</v>
      </c>
      <c r="F660">
        <v>923</v>
      </c>
      <c r="G660" t="s">
        <v>103</v>
      </c>
      <c r="H660" t="s">
        <v>1339</v>
      </c>
      <c r="I660" t="s">
        <v>1335</v>
      </c>
      <c r="J660" t="s">
        <v>1341</v>
      </c>
      <c r="K660">
        <v>2022</v>
      </c>
      <c r="L660" t="s">
        <v>150</v>
      </c>
      <c r="M660">
        <v>7199400</v>
      </c>
      <c r="N660" t="s">
        <v>1218</v>
      </c>
      <c r="O660" t="s">
        <v>134</v>
      </c>
      <c r="P660" t="s">
        <v>1207</v>
      </c>
      <c r="Q660" t="s">
        <v>1220</v>
      </c>
    </row>
    <row r="661" spans="1:17">
      <c r="A661">
        <v>28</v>
      </c>
      <c r="B661" t="s">
        <v>1327</v>
      </c>
      <c r="C661" t="s">
        <v>17</v>
      </c>
      <c r="D661" t="s">
        <v>1342</v>
      </c>
      <c r="E661" t="s">
        <v>57</v>
      </c>
      <c r="F661">
        <v>1817</v>
      </c>
      <c r="G661" t="s">
        <v>994</v>
      </c>
      <c r="H661" t="s">
        <v>1328</v>
      </c>
      <c r="I661" t="s">
        <v>1329</v>
      </c>
      <c r="J661" t="s">
        <v>1343</v>
      </c>
      <c r="K661">
        <v>2024</v>
      </c>
      <c r="L661" t="s">
        <v>1344</v>
      </c>
      <c r="M661">
        <v>1817</v>
      </c>
      <c r="N661" t="s">
        <v>1345</v>
      </c>
      <c r="O661" t="s">
        <v>1346</v>
      </c>
      <c r="P661" t="s">
        <v>1207</v>
      </c>
      <c r="Q661" t="s">
        <v>1220</v>
      </c>
    </row>
    <row r="662" spans="1:17">
      <c r="A662">
        <v>28</v>
      </c>
      <c r="B662" t="s">
        <v>1327</v>
      </c>
      <c r="C662" t="s">
        <v>457</v>
      </c>
      <c r="D662" t="s">
        <v>1347</v>
      </c>
      <c r="E662" t="s">
        <v>57</v>
      </c>
      <c r="F662">
        <v>200</v>
      </c>
      <c r="G662" t="s">
        <v>994</v>
      </c>
      <c r="H662" t="s">
        <v>1348</v>
      </c>
      <c r="I662" t="s">
        <v>1335</v>
      </c>
      <c r="J662" t="s">
        <v>1349</v>
      </c>
      <c r="K662">
        <v>2024</v>
      </c>
      <c r="L662" t="s">
        <v>1344</v>
      </c>
      <c r="M662">
        <v>200</v>
      </c>
      <c r="N662" t="s">
        <v>1345</v>
      </c>
      <c r="O662" t="s">
        <v>1350</v>
      </c>
      <c r="P662" t="s">
        <v>1207</v>
      </c>
      <c r="Q662" t="s">
        <v>1220</v>
      </c>
    </row>
    <row r="663" spans="1:17">
      <c r="A663">
        <v>28</v>
      </c>
      <c r="B663" t="s">
        <v>1327</v>
      </c>
      <c r="C663" t="s">
        <v>17</v>
      </c>
      <c r="D663" t="s">
        <v>1351</v>
      </c>
      <c r="E663" t="s">
        <v>57</v>
      </c>
      <c r="F663">
        <v>20</v>
      </c>
      <c r="G663" t="s">
        <v>30</v>
      </c>
      <c r="H663" t="s">
        <v>1328</v>
      </c>
      <c r="I663" t="s">
        <v>1329</v>
      </c>
      <c r="J663" t="s">
        <v>1352</v>
      </c>
      <c r="K663">
        <v>2024</v>
      </c>
      <c r="L663" t="s">
        <v>1353</v>
      </c>
      <c r="M663">
        <v>20</v>
      </c>
      <c r="N663" t="s">
        <v>1275</v>
      </c>
      <c r="O663" t="s">
        <v>1354</v>
      </c>
      <c r="P663" t="s">
        <v>1207</v>
      </c>
      <c r="Q663" t="s">
        <v>1220</v>
      </c>
    </row>
    <row r="664" spans="1:17">
      <c r="A664">
        <v>28</v>
      </c>
      <c r="B664" t="s">
        <v>1327</v>
      </c>
      <c r="C664" t="s">
        <v>17</v>
      </c>
      <c r="D664" t="s">
        <v>1355</v>
      </c>
      <c r="E664" t="s">
        <v>57</v>
      </c>
      <c r="F664">
        <v>4.8600000000000003</v>
      </c>
      <c r="G664" t="s">
        <v>30</v>
      </c>
      <c r="H664" t="s">
        <v>1356</v>
      </c>
      <c r="I664" t="s">
        <v>1329</v>
      </c>
      <c r="J664" t="s">
        <v>1332</v>
      </c>
      <c r="K664">
        <v>2024</v>
      </c>
      <c r="L664" t="s">
        <v>36</v>
      </c>
      <c r="M664">
        <v>4.8600000000000003</v>
      </c>
      <c r="N664" t="s">
        <v>1357</v>
      </c>
      <c r="O664" t="s">
        <v>1358</v>
      </c>
      <c r="P664" t="s">
        <v>1207</v>
      </c>
      <c r="Q664" t="s">
        <v>1220</v>
      </c>
    </row>
    <row r="665" spans="1:17">
      <c r="A665">
        <v>28</v>
      </c>
      <c r="B665" t="s">
        <v>1327</v>
      </c>
      <c r="C665" t="s">
        <v>17</v>
      </c>
      <c r="D665" t="s">
        <v>1355</v>
      </c>
      <c r="E665" t="s">
        <v>62</v>
      </c>
      <c r="F665">
        <v>5.97</v>
      </c>
      <c r="G665" t="s">
        <v>30</v>
      </c>
      <c r="H665" t="s">
        <v>1359</v>
      </c>
      <c r="I665" t="s">
        <v>1335</v>
      </c>
      <c r="J665" t="s">
        <v>1360</v>
      </c>
      <c r="K665">
        <v>2023</v>
      </c>
      <c r="L665" t="s">
        <v>36</v>
      </c>
      <c r="M665">
        <v>5.97</v>
      </c>
      <c r="N665" t="s">
        <v>1361</v>
      </c>
      <c r="O665" t="s">
        <v>134</v>
      </c>
      <c r="P665" t="s">
        <v>1207</v>
      </c>
      <c r="Q665" t="s">
        <v>1220</v>
      </c>
    </row>
    <row r="666" spans="1:17">
      <c r="A666">
        <v>28</v>
      </c>
      <c r="B666" t="s">
        <v>1327</v>
      </c>
      <c r="C666" t="s">
        <v>17</v>
      </c>
      <c r="D666" t="s">
        <v>1355</v>
      </c>
      <c r="E666" t="s">
        <v>1338</v>
      </c>
      <c r="F666">
        <v>5.99</v>
      </c>
      <c r="G666" t="s">
        <v>30</v>
      </c>
      <c r="H666" t="s">
        <v>1362</v>
      </c>
      <c r="I666" t="s">
        <v>1335</v>
      </c>
      <c r="J666" t="s">
        <v>1363</v>
      </c>
      <c r="K666">
        <v>2022</v>
      </c>
      <c r="L666" t="s">
        <v>36</v>
      </c>
      <c r="M666">
        <v>5.99</v>
      </c>
      <c r="N666" t="s">
        <v>1364</v>
      </c>
      <c r="O666" t="s">
        <v>134</v>
      </c>
      <c r="P666" t="s">
        <v>1207</v>
      </c>
      <c r="Q666" t="s">
        <v>1220</v>
      </c>
    </row>
    <row r="667" spans="1:17">
      <c r="A667">
        <v>28</v>
      </c>
      <c r="B667" t="s">
        <v>1327</v>
      </c>
      <c r="C667" t="s">
        <v>17</v>
      </c>
      <c r="D667" t="s">
        <v>102</v>
      </c>
      <c r="E667" t="s">
        <v>51</v>
      </c>
      <c r="F667">
        <v>16800</v>
      </c>
      <c r="G667" t="s">
        <v>103</v>
      </c>
      <c r="H667" t="s">
        <v>1365</v>
      </c>
      <c r="I667" t="s">
        <v>1366</v>
      </c>
      <c r="J667" t="s">
        <v>1367</v>
      </c>
      <c r="K667">
        <v>2025</v>
      </c>
      <c r="L667" t="s">
        <v>23</v>
      </c>
      <c r="M667">
        <v>131040000</v>
      </c>
      <c r="N667" t="s">
        <v>1218</v>
      </c>
      <c r="O667" t="s">
        <v>134</v>
      </c>
      <c r="P667" t="s">
        <v>1207</v>
      </c>
      <c r="Q667" t="s">
        <v>1220</v>
      </c>
    </row>
    <row r="668" spans="1:17">
      <c r="A668">
        <v>28</v>
      </c>
      <c r="B668" t="s">
        <v>1327</v>
      </c>
      <c r="C668" t="s">
        <v>17</v>
      </c>
      <c r="D668" t="s">
        <v>1331</v>
      </c>
      <c r="E668" t="s">
        <v>51</v>
      </c>
      <c r="F668">
        <v>910</v>
      </c>
      <c r="G668" t="s">
        <v>103</v>
      </c>
      <c r="H668" t="s">
        <v>1365</v>
      </c>
      <c r="I668" t="s">
        <v>1366</v>
      </c>
      <c r="J668" t="s">
        <v>1368</v>
      </c>
      <c r="K668">
        <v>2025</v>
      </c>
      <c r="L668" t="s">
        <v>150</v>
      </c>
      <c r="M668">
        <v>7098000</v>
      </c>
      <c r="N668" t="s">
        <v>1218</v>
      </c>
      <c r="O668" t="s">
        <v>134</v>
      </c>
      <c r="P668" t="s">
        <v>1207</v>
      </c>
      <c r="Q668" t="s">
        <v>1220</v>
      </c>
    </row>
    <row r="669" spans="1:17">
      <c r="A669">
        <v>28</v>
      </c>
      <c r="B669" t="s">
        <v>1327</v>
      </c>
      <c r="C669" t="s">
        <v>17</v>
      </c>
      <c r="D669" t="s">
        <v>1003</v>
      </c>
      <c r="E669" t="s">
        <v>51</v>
      </c>
      <c r="F669">
        <v>1800</v>
      </c>
      <c r="G669" t="s">
        <v>103</v>
      </c>
      <c r="H669" t="s">
        <v>1365</v>
      </c>
      <c r="I669" t="s">
        <v>1366</v>
      </c>
      <c r="J669" t="s">
        <v>1369</v>
      </c>
      <c r="K669">
        <v>2025</v>
      </c>
      <c r="L669" t="s">
        <v>1003</v>
      </c>
      <c r="M669">
        <v>14040000</v>
      </c>
      <c r="N669" t="s">
        <v>1218</v>
      </c>
      <c r="O669" t="s">
        <v>1370</v>
      </c>
      <c r="P669" t="s">
        <v>1207</v>
      </c>
      <c r="Q669" t="s">
        <v>1220</v>
      </c>
    </row>
    <row r="670" spans="1:17">
      <c r="A670">
        <v>28</v>
      </c>
      <c r="B670" t="s">
        <v>1327</v>
      </c>
      <c r="C670" t="s">
        <v>17</v>
      </c>
      <c r="D670" t="s">
        <v>1371</v>
      </c>
      <c r="E670" t="s">
        <v>51</v>
      </c>
      <c r="F670">
        <v>20700</v>
      </c>
      <c r="G670" t="s">
        <v>103</v>
      </c>
      <c r="H670" t="s">
        <v>1365</v>
      </c>
      <c r="I670" t="s">
        <v>1366</v>
      </c>
      <c r="J670" t="s">
        <v>1372</v>
      </c>
      <c r="K670">
        <v>2025</v>
      </c>
      <c r="L670" t="s">
        <v>1373</v>
      </c>
      <c r="M670">
        <v>161460000</v>
      </c>
      <c r="N670" t="s">
        <v>1218</v>
      </c>
      <c r="O670" t="s">
        <v>1374</v>
      </c>
      <c r="P670" t="s">
        <v>1207</v>
      </c>
      <c r="Q670" t="s">
        <v>1220</v>
      </c>
    </row>
    <row r="671" spans="1:17">
      <c r="A671">
        <v>28</v>
      </c>
      <c r="B671" t="s">
        <v>1327</v>
      </c>
      <c r="C671" t="s">
        <v>17</v>
      </c>
      <c r="D671" t="s">
        <v>1342</v>
      </c>
      <c r="E671" t="s">
        <v>51</v>
      </c>
      <c r="F671">
        <v>1902</v>
      </c>
      <c r="G671" t="s">
        <v>994</v>
      </c>
      <c r="H671" t="s">
        <v>1365</v>
      </c>
      <c r="I671" t="s">
        <v>1366</v>
      </c>
      <c r="J671" t="s">
        <v>1375</v>
      </c>
      <c r="K671">
        <v>2025</v>
      </c>
      <c r="L671" t="s">
        <v>1344</v>
      </c>
      <c r="M671">
        <v>1902</v>
      </c>
      <c r="N671" t="s">
        <v>1345</v>
      </c>
      <c r="O671" t="s">
        <v>1346</v>
      </c>
      <c r="P671" t="s">
        <v>1207</v>
      </c>
      <c r="Q671" t="s">
        <v>1220</v>
      </c>
    </row>
    <row r="672" spans="1:17">
      <c r="A672">
        <v>28</v>
      </c>
      <c r="B672" t="s">
        <v>1327</v>
      </c>
      <c r="C672" t="s">
        <v>17</v>
      </c>
      <c r="D672" t="s">
        <v>1376</v>
      </c>
      <c r="E672" t="s">
        <v>51</v>
      </c>
      <c r="F672">
        <v>20.2</v>
      </c>
      <c r="G672" t="s">
        <v>30</v>
      </c>
      <c r="H672" t="s">
        <v>1365</v>
      </c>
      <c r="I672" t="s">
        <v>1366</v>
      </c>
      <c r="J672" t="s">
        <v>1377</v>
      </c>
      <c r="K672">
        <v>2025</v>
      </c>
      <c r="L672" t="s">
        <v>1353</v>
      </c>
      <c r="M672">
        <v>20.2</v>
      </c>
      <c r="N672" t="s">
        <v>1275</v>
      </c>
      <c r="O672" t="s">
        <v>1378</v>
      </c>
      <c r="P672" t="s">
        <v>1207</v>
      </c>
      <c r="Q672" t="s">
        <v>1220</v>
      </c>
    </row>
    <row r="673" spans="1:17">
      <c r="A673">
        <v>28</v>
      </c>
      <c r="B673" t="s">
        <v>1327</v>
      </c>
      <c r="C673" t="s">
        <v>17</v>
      </c>
      <c r="D673" t="s">
        <v>1379</v>
      </c>
      <c r="E673" t="s">
        <v>51</v>
      </c>
      <c r="F673">
        <v>82</v>
      </c>
      <c r="G673" t="s">
        <v>1380</v>
      </c>
      <c r="H673" t="s">
        <v>1365</v>
      </c>
      <c r="I673" t="s">
        <v>1366</v>
      </c>
      <c r="J673" t="s">
        <v>1381</v>
      </c>
      <c r="K673">
        <v>2025</v>
      </c>
      <c r="L673" t="s">
        <v>1382</v>
      </c>
      <c r="M673">
        <v>82</v>
      </c>
      <c r="N673" t="s">
        <v>1383</v>
      </c>
      <c r="O673" t="s">
        <v>1384</v>
      </c>
      <c r="P673" t="s">
        <v>1207</v>
      </c>
      <c r="Q673" t="s">
        <v>1220</v>
      </c>
    </row>
    <row r="674" spans="1:17">
      <c r="A674">
        <v>28</v>
      </c>
      <c r="B674" t="s">
        <v>1327</v>
      </c>
      <c r="C674" t="s">
        <v>17</v>
      </c>
      <c r="D674" t="s">
        <v>1385</v>
      </c>
      <c r="E674" t="s">
        <v>51</v>
      </c>
      <c r="F674">
        <v>102913</v>
      </c>
      <c r="G674" t="s">
        <v>1386</v>
      </c>
      <c r="H674" t="s">
        <v>1365</v>
      </c>
      <c r="I674" t="s">
        <v>1366</v>
      </c>
      <c r="J674" t="s">
        <v>1387</v>
      </c>
      <c r="K674">
        <v>2025</v>
      </c>
      <c r="L674" t="s">
        <v>1388</v>
      </c>
      <c r="M674">
        <v>102913</v>
      </c>
      <c r="N674" t="s">
        <v>1389</v>
      </c>
      <c r="O674" t="s">
        <v>1390</v>
      </c>
      <c r="P674" t="s">
        <v>1207</v>
      </c>
      <c r="Q674" t="s">
        <v>1220</v>
      </c>
    </row>
    <row r="675" spans="1:17">
      <c r="A675">
        <v>28</v>
      </c>
      <c r="B675" t="s">
        <v>1327</v>
      </c>
      <c r="C675" t="s">
        <v>17</v>
      </c>
      <c r="D675" t="s">
        <v>1355</v>
      </c>
      <c r="E675" t="s">
        <v>51</v>
      </c>
      <c r="F675">
        <v>5.42</v>
      </c>
      <c r="G675" t="s">
        <v>30</v>
      </c>
      <c r="H675" t="s">
        <v>1391</v>
      </c>
      <c r="I675" t="s">
        <v>1366</v>
      </c>
      <c r="J675" t="s">
        <v>1392</v>
      </c>
      <c r="K675">
        <v>2025</v>
      </c>
      <c r="L675" t="s">
        <v>36</v>
      </c>
      <c r="M675">
        <v>5.42</v>
      </c>
      <c r="N675" t="s">
        <v>1393</v>
      </c>
      <c r="O675" t="s">
        <v>1394</v>
      </c>
      <c r="P675" t="s">
        <v>1207</v>
      </c>
      <c r="Q675" t="s">
        <v>1220</v>
      </c>
    </row>
    <row r="676" spans="1:17">
      <c r="F676"/>
      <c r="M676"/>
    </row>
    <row r="677" spans="1:17">
      <c r="F677"/>
      <c r="M677"/>
    </row>
    <row r="678" spans="1:17">
      <c r="F678"/>
      <c r="M678"/>
    </row>
  </sheetData>
  <autoFilter ref="A1:P675" xr:uid="{00000000-0001-0000-0000-000000000000}"/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EEC6-5CD0-471F-9A2E-1A0F076CB95B}">
  <dimension ref="A2:AF70"/>
  <sheetViews>
    <sheetView topLeftCell="I23" zoomScale="85" zoomScaleNormal="85" workbookViewId="0">
      <selection activeCell="Y49" sqref="Y49"/>
    </sheetView>
  </sheetViews>
  <sheetFormatPr defaultRowHeight="14.5"/>
  <cols>
    <col min="1" max="1" width="23.6328125" bestFit="1" customWidth="1"/>
    <col min="2" max="2" width="18.26953125" style="2" bestFit="1" customWidth="1"/>
    <col min="3" max="4" width="11.1796875" style="2" bestFit="1" customWidth="1"/>
    <col min="5" max="5" width="12" style="2" bestFit="1" customWidth="1"/>
    <col min="6" max="7" width="17.90625" style="2" customWidth="1"/>
    <col min="8" max="8" width="13.26953125" bestFit="1" customWidth="1"/>
    <col min="9" max="9" width="13.26953125" customWidth="1"/>
    <col min="10" max="10" width="23.6328125" bestFit="1" customWidth="1"/>
    <col min="11" max="11" width="18.26953125" style="6" bestFit="1" customWidth="1"/>
    <col min="12" max="13" width="8.1796875" style="6" bestFit="1" customWidth="1"/>
    <col min="14" max="14" width="12" style="6" bestFit="1" customWidth="1"/>
    <col min="15" max="15" width="9.6328125" style="6" bestFit="1" customWidth="1"/>
    <col min="16" max="16" width="24.90625" style="6" bestFit="1" customWidth="1"/>
    <col min="17" max="17" width="16.6328125" style="6" bestFit="1" customWidth="1"/>
    <col min="18" max="19" width="8.1796875" style="6" bestFit="1" customWidth="1"/>
    <col min="20" max="21" width="12" style="6" bestFit="1" customWidth="1"/>
    <col min="22" max="22" width="24.90625" style="6" bestFit="1" customWidth="1"/>
    <col min="23" max="23" width="16.6328125" style="6" bestFit="1" customWidth="1"/>
    <col min="24" max="26" width="12.7265625" style="6" bestFit="1" customWidth="1"/>
    <col min="28" max="28" width="22.90625" bestFit="1" customWidth="1"/>
    <col min="29" max="29" width="19.7265625" bestFit="1" customWidth="1"/>
    <col min="30" max="31" width="8.1796875" bestFit="1" customWidth="1"/>
    <col min="32" max="32" width="12" bestFit="1" customWidth="1"/>
  </cols>
  <sheetData>
    <row r="2" spans="1:32">
      <c r="A2" s="3" t="s">
        <v>11</v>
      </c>
      <c r="B2" t="s">
        <v>23</v>
      </c>
      <c r="F2"/>
      <c r="G2"/>
      <c r="J2" s="3" t="s">
        <v>11</v>
      </c>
      <c r="K2" t="s">
        <v>29</v>
      </c>
      <c r="P2" s="81" t="s">
        <v>11</v>
      </c>
      <c r="Q2" s="80" t="s">
        <v>36</v>
      </c>
      <c r="V2" s="81" t="s">
        <v>11</v>
      </c>
      <c r="W2" s="80" t="s">
        <v>976</v>
      </c>
      <c r="AB2" s="81" t="s">
        <v>2</v>
      </c>
      <c r="AC2" s="80" t="s">
        <v>1314</v>
      </c>
      <c r="AD2" s="6"/>
      <c r="AE2" s="6"/>
      <c r="AF2" s="6"/>
    </row>
    <row r="3" spans="1:32">
      <c r="A3" s="3" t="s">
        <v>2</v>
      </c>
      <c r="B3" t="s">
        <v>1314</v>
      </c>
      <c r="F3"/>
      <c r="G3"/>
      <c r="J3" s="3" t="s">
        <v>2</v>
      </c>
      <c r="K3" t="s">
        <v>1314</v>
      </c>
      <c r="P3" s="81" t="s">
        <v>2</v>
      </c>
      <c r="Q3" s="80" t="s">
        <v>1314</v>
      </c>
      <c r="V3" s="81" t="s">
        <v>2</v>
      </c>
      <c r="W3" s="80" t="s">
        <v>1314</v>
      </c>
      <c r="AB3" s="81" t="s">
        <v>1153</v>
      </c>
      <c r="AC3" s="80" t="s">
        <v>930</v>
      </c>
      <c r="AD3" s="6"/>
      <c r="AE3" s="6"/>
      <c r="AF3" s="6"/>
    </row>
    <row r="4" spans="1:32">
      <c r="F4"/>
      <c r="G4"/>
      <c r="AB4" s="6"/>
      <c r="AC4" s="6"/>
      <c r="AD4" s="6"/>
      <c r="AE4" s="6"/>
      <c r="AF4" s="6"/>
    </row>
    <row r="5" spans="1:32">
      <c r="A5" s="3" t="s">
        <v>1162</v>
      </c>
      <c r="B5" s="8" t="s">
        <v>1313</v>
      </c>
      <c r="C5" s="7"/>
      <c r="D5" s="7"/>
      <c r="E5" s="7"/>
      <c r="F5"/>
      <c r="G5"/>
      <c r="J5" s="3" t="s">
        <v>1162</v>
      </c>
      <c r="K5" s="81" t="s">
        <v>1313</v>
      </c>
      <c r="L5" s="80"/>
      <c r="M5" s="80"/>
      <c r="N5" s="80"/>
      <c r="P5" s="81" t="s">
        <v>1162</v>
      </c>
      <c r="Q5" s="81" t="s">
        <v>1313</v>
      </c>
      <c r="R5" s="80"/>
      <c r="S5" s="80"/>
      <c r="T5" s="80"/>
      <c r="V5" s="81" t="s">
        <v>1162</v>
      </c>
      <c r="W5" s="81" t="s">
        <v>1313</v>
      </c>
      <c r="X5" s="80"/>
      <c r="Y5" s="80"/>
      <c r="Z5" s="80"/>
      <c r="AB5" s="81" t="s">
        <v>622</v>
      </c>
      <c r="AC5" s="81" t="s">
        <v>1313</v>
      </c>
      <c r="AD5" s="80"/>
      <c r="AE5" s="80"/>
      <c r="AF5" s="80"/>
    </row>
    <row r="6" spans="1:32">
      <c r="A6" s="3" t="s">
        <v>1311</v>
      </c>
      <c r="B6" s="7">
        <v>2023</v>
      </c>
      <c r="C6" s="7">
        <v>2024</v>
      </c>
      <c r="D6" s="7">
        <v>2025</v>
      </c>
      <c r="E6" s="7" t="s">
        <v>1312</v>
      </c>
      <c r="F6" t="s">
        <v>1160</v>
      </c>
      <c r="G6" t="s">
        <v>1161</v>
      </c>
      <c r="H6" s="7" t="s">
        <v>1164</v>
      </c>
      <c r="I6" s="7"/>
      <c r="J6" s="3" t="s">
        <v>1311</v>
      </c>
      <c r="K6" s="80">
        <v>2023</v>
      </c>
      <c r="L6" s="80">
        <v>2024</v>
      </c>
      <c r="M6" s="80">
        <v>2025</v>
      </c>
      <c r="N6" s="80" t="s">
        <v>1312</v>
      </c>
      <c r="P6" s="81" t="s">
        <v>1311</v>
      </c>
      <c r="Q6" s="80">
        <v>2023</v>
      </c>
      <c r="R6" s="80">
        <v>2024</v>
      </c>
      <c r="S6" s="80">
        <v>2025</v>
      </c>
      <c r="T6" s="80" t="s">
        <v>1312</v>
      </c>
      <c r="V6" s="81" t="s">
        <v>1311</v>
      </c>
      <c r="W6" s="80">
        <v>2023</v>
      </c>
      <c r="X6" s="80">
        <v>2024</v>
      </c>
      <c r="Y6" s="80">
        <v>2025</v>
      </c>
      <c r="Z6" s="80" t="s">
        <v>1312</v>
      </c>
      <c r="AB6" s="81" t="s">
        <v>1311</v>
      </c>
      <c r="AC6" s="80">
        <v>2023</v>
      </c>
      <c r="AD6" s="80">
        <v>2024</v>
      </c>
      <c r="AE6" s="80">
        <v>2025</v>
      </c>
      <c r="AF6" s="80" t="s">
        <v>1312</v>
      </c>
    </row>
    <row r="7" spans="1:32">
      <c r="A7" s="4" t="s">
        <v>930</v>
      </c>
      <c r="B7" s="7">
        <v>62356000</v>
      </c>
      <c r="C7" s="7">
        <v>70826000</v>
      </c>
      <c r="D7" s="7">
        <v>80219000</v>
      </c>
      <c r="E7" s="7">
        <v>71133666.666666672</v>
      </c>
      <c r="F7" s="47">
        <f t="shared" ref="F7:F17" si="0">C7/B7-1</f>
        <v>0.13583295913785354</v>
      </c>
      <c r="G7" s="47">
        <f t="shared" ref="G7:G20" si="1">D7/C7-1</f>
        <v>0.13262078897579976</v>
      </c>
      <c r="H7" t="str">
        <f>VLOOKUP(A7,'brand list'!$G$1:$H$29,2,0)</f>
        <v>中国公司</v>
      </c>
      <c r="J7" s="4" t="s">
        <v>913</v>
      </c>
      <c r="K7" s="80">
        <v>41.1</v>
      </c>
      <c r="L7" s="80">
        <v>41.5</v>
      </c>
      <c r="M7" s="80">
        <v>41.5</v>
      </c>
      <c r="N7" s="80">
        <v>41.366666666666667</v>
      </c>
      <c r="P7" s="82" t="s">
        <v>913</v>
      </c>
      <c r="Q7" s="80">
        <v>11.4</v>
      </c>
      <c r="R7" s="80">
        <v>11.4</v>
      </c>
      <c r="S7" s="80">
        <v>11.7</v>
      </c>
      <c r="T7" s="80">
        <v>11.5</v>
      </c>
      <c r="V7" s="82" t="s">
        <v>913</v>
      </c>
      <c r="W7" s="80">
        <v>25.6</v>
      </c>
      <c r="X7" s="80">
        <v>24.7</v>
      </c>
      <c r="Y7" s="80">
        <v>22.3</v>
      </c>
      <c r="Z7" s="80">
        <v>24.2</v>
      </c>
      <c r="AB7" s="82" t="s">
        <v>218</v>
      </c>
      <c r="AC7" s="80">
        <v>10</v>
      </c>
      <c r="AD7" s="80">
        <v>10.199999999999999</v>
      </c>
      <c r="AE7" s="80">
        <v>10.5</v>
      </c>
      <c r="AF7" s="80">
        <v>30.7</v>
      </c>
    </row>
    <row r="8" spans="1:32">
      <c r="A8" s="4" t="s">
        <v>245</v>
      </c>
      <c r="B8" s="7">
        <v>52185600</v>
      </c>
      <c r="C8" s="7">
        <v>54324000</v>
      </c>
      <c r="D8" s="7">
        <v>47419200</v>
      </c>
      <c r="E8" s="7">
        <v>51309600</v>
      </c>
      <c r="F8" s="47">
        <f t="shared" si="0"/>
        <v>4.0976821192052926E-2</v>
      </c>
      <c r="G8" s="47">
        <f t="shared" si="1"/>
        <v>-0.12710404241219353</v>
      </c>
      <c r="H8" t="str">
        <f>VLOOKUP(A8,'brand list'!$G$1:$H$29,2,0)</f>
        <v>大中华区</v>
      </c>
      <c r="J8" s="4" t="s">
        <v>932</v>
      </c>
      <c r="K8" s="80">
        <v>48.7</v>
      </c>
      <c r="L8" s="80">
        <v>49.6</v>
      </c>
      <c r="M8" s="80">
        <v>52.6</v>
      </c>
      <c r="N8" s="80">
        <v>50.300000000000004</v>
      </c>
      <c r="P8" s="82" t="s">
        <v>245</v>
      </c>
      <c r="Q8" s="80">
        <v>23.6</v>
      </c>
      <c r="R8" s="80">
        <v>23</v>
      </c>
      <c r="S8" s="80">
        <v>18.2</v>
      </c>
      <c r="T8" s="80">
        <v>21.599999999999998</v>
      </c>
      <c r="V8" s="82" t="s">
        <v>932</v>
      </c>
      <c r="W8" s="80">
        <v>45</v>
      </c>
      <c r="X8" s="80">
        <v>43</v>
      </c>
      <c r="Y8" s="80">
        <v>42</v>
      </c>
      <c r="Z8" s="80">
        <v>43.333333333333336</v>
      </c>
      <c r="AB8" s="82" t="s">
        <v>1193</v>
      </c>
      <c r="AC8" s="80">
        <v>10.8</v>
      </c>
      <c r="AD8" s="80">
        <v>11</v>
      </c>
      <c r="AE8" s="80">
        <v>11.5</v>
      </c>
      <c r="AF8" s="80">
        <v>33.299999999999997</v>
      </c>
    </row>
    <row r="9" spans="1:32">
      <c r="A9" s="4" t="s">
        <v>979</v>
      </c>
      <c r="B9" s="7">
        <v>37408800</v>
      </c>
      <c r="C9" s="7">
        <v>37065600</v>
      </c>
      <c r="D9" s="7">
        <v>36114000</v>
      </c>
      <c r="E9" s="7">
        <v>36913500</v>
      </c>
      <c r="F9" s="47">
        <f t="shared" si="0"/>
        <v>-9.1743119266054496E-3</v>
      </c>
      <c r="G9" s="47">
        <f t="shared" si="1"/>
        <v>-2.5673400673400626E-2</v>
      </c>
      <c r="H9" t="str">
        <f>VLOOKUP(A9,'brand list'!$G$1:$H$29,2,0)</f>
        <v>亚太/其他地区</v>
      </c>
      <c r="J9" s="4" t="s">
        <v>245</v>
      </c>
      <c r="K9" s="80">
        <v>51</v>
      </c>
      <c r="L9" s="80">
        <v>50.2</v>
      </c>
      <c r="M9" s="80">
        <v>46</v>
      </c>
      <c r="N9" s="80">
        <v>49.066666666666663</v>
      </c>
      <c r="P9" s="82" t="s">
        <v>930</v>
      </c>
      <c r="Q9" s="80">
        <v>16.420000000000002</v>
      </c>
      <c r="R9" s="80">
        <v>24</v>
      </c>
      <c r="S9" s="80">
        <v>19.5</v>
      </c>
      <c r="T9" s="80">
        <v>19.973333333333333</v>
      </c>
      <c r="V9" s="82" t="s">
        <v>245</v>
      </c>
      <c r="W9" s="80">
        <v>33.799999999999997</v>
      </c>
      <c r="X9" s="80">
        <v>34.5</v>
      </c>
      <c r="Y9" s="80">
        <v>35.700000000000003</v>
      </c>
      <c r="Z9" s="80">
        <v>34.666666666666664</v>
      </c>
      <c r="AB9" s="82" t="s">
        <v>1197</v>
      </c>
      <c r="AC9" s="80">
        <v>2.6</v>
      </c>
      <c r="AD9" s="80">
        <v>2.8</v>
      </c>
      <c r="AE9" s="80">
        <v>2.7</v>
      </c>
      <c r="AF9" s="80">
        <v>8.1000000000000014</v>
      </c>
    </row>
    <row r="10" spans="1:32">
      <c r="A10" s="4" t="s">
        <v>977</v>
      </c>
      <c r="B10" s="7">
        <v>29769600</v>
      </c>
      <c r="C10" s="7">
        <v>32496000</v>
      </c>
      <c r="D10" s="7">
        <v>31209600</v>
      </c>
      <c r="E10" s="7">
        <v>31158400</v>
      </c>
      <c r="F10" s="47">
        <f t="shared" si="0"/>
        <v>9.1583360206385134E-2</v>
      </c>
      <c r="G10" s="47">
        <f t="shared" si="1"/>
        <v>-3.9586410635155111E-2</v>
      </c>
      <c r="H10" t="str">
        <f>VLOOKUP(A10,'brand list'!$G$1:$H$29,2,0)</f>
        <v>大中华区</v>
      </c>
      <c r="J10" s="4" t="s">
        <v>930</v>
      </c>
      <c r="K10" s="80">
        <v>62.6</v>
      </c>
      <c r="L10" s="80">
        <v>62.2</v>
      </c>
      <c r="M10" s="80">
        <v>62</v>
      </c>
      <c r="N10" s="80">
        <v>62.266666666666673</v>
      </c>
      <c r="P10" s="82" t="s">
        <v>918</v>
      </c>
      <c r="Q10" s="80">
        <v>25.75</v>
      </c>
      <c r="R10" s="80">
        <v>19.5</v>
      </c>
      <c r="S10" s="80">
        <v>12.77</v>
      </c>
      <c r="T10" s="80">
        <v>19.34</v>
      </c>
      <c r="V10" s="82" t="s">
        <v>930</v>
      </c>
      <c r="W10" s="80">
        <v>23.400000000000002</v>
      </c>
      <c r="X10" s="80">
        <v>24</v>
      </c>
      <c r="Y10" s="80">
        <v>24.7</v>
      </c>
      <c r="Z10" s="80">
        <v>24.033333333333335</v>
      </c>
      <c r="AB10" s="82" t="s">
        <v>1312</v>
      </c>
      <c r="AC10" s="80">
        <v>23.400000000000002</v>
      </c>
      <c r="AD10" s="80">
        <v>24</v>
      </c>
      <c r="AE10" s="80">
        <v>24.7</v>
      </c>
      <c r="AF10" s="80">
        <v>72.099999999999994</v>
      </c>
    </row>
    <row r="11" spans="1:32">
      <c r="A11" s="4" t="s">
        <v>935</v>
      </c>
      <c r="B11" s="7">
        <v>27598000</v>
      </c>
      <c r="C11" s="7">
        <v>28676000</v>
      </c>
      <c r="D11" s="7">
        <v>29598000</v>
      </c>
      <c r="E11" s="7">
        <v>28624000</v>
      </c>
      <c r="F11" s="47">
        <f t="shared" si="0"/>
        <v>3.9060801507355691E-2</v>
      </c>
      <c r="G11" s="47">
        <f t="shared" si="1"/>
        <v>3.2152322499651387E-2</v>
      </c>
      <c r="H11" t="str">
        <f>VLOOKUP(A11,'brand list'!$G$1:$H$29,2,0)</f>
        <v>中国公司</v>
      </c>
      <c r="J11" s="4" t="s">
        <v>918</v>
      </c>
      <c r="K11" s="80">
        <v>77.5</v>
      </c>
      <c r="L11" s="80">
        <v>76.290000000000006</v>
      </c>
      <c r="M11" s="80">
        <v>75.349999999999994</v>
      </c>
      <c r="N11" s="80">
        <v>76.38000000000001</v>
      </c>
      <c r="P11" s="82" t="s">
        <v>935</v>
      </c>
      <c r="Q11" s="80">
        <v>8.6</v>
      </c>
      <c r="R11" s="80">
        <v>8.8000000000000007</v>
      </c>
      <c r="S11" s="80">
        <v>9.9</v>
      </c>
      <c r="T11" s="80">
        <v>9.1</v>
      </c>
      <c r="V11" s="82" t="s">
        <v>918</v>
      </c>
      <c r="W11" s="80">
        <v>34</v>
      </c>
      <c r="X11" s="80">
        <v>34.5</v>
      </c>
      <c r="Y11" s="80">
        <v>35</v>
      </c>
      <c r="Z11" s="80">
        <v>34.5</v>
      </c>
    </row>
    <row r="12" spans="1:32">
      <c r="A12" s="4" t="s">
        <v>929</v>
      </c>
      <c r="B12" s="7">
        <v>27073200</v>
      </c>
      <c r="C12" s="7">
        <v>28933200</v>
      </c>
      <c r="D12" s="7">
        <v>27012900</v>
      </c>
      <c r="E12" s="7">
        <v>27673100</v>
      </c>
      <c r="F12" s="47">
        <f t="shared" si="0"/>
        <v>6.8702628429590851E-2</v>
      </c>
      <c r="G12" s="47">
        <f t="shared" si="1"/>
        <v>-6.6370121521297287E-2</v>
      </c>
      <c r="H12" t="str">
        <f>VLOOKUP(A12,'brand list'!$G$1:$H$29,2,0)</f>
        <v>中国公司</v>
      </c>
      <c r="J12" s="4" t="s">
        <v>935</v>
      </c>
      <c r="K12" s="80">
        <v>48.4</v>
      </c>
      <c r="L12" s="80">
        <v>49.4</v>
      </c>
      <c r="M12" s="80">
        <v>49</v>
      </c>
      <c r="N12" s="80">
        <v>48.933333333333337</v>
      </c>
      <c r="P12" s="82" t="s">
        <v>916</v>
      </c>
      <c r="Q12" s="80">
        <v>5.16</v>
      </c>
      <c r="R12" s="80">
        <v>6.7</v>
      </c>
      <c r="S12" s="80">
        <v>5.72</v>
      </c>
      <c r="T12" s="80">
        <v>5.8599999999999994</v>
      </c>
      <c r="V12" s="82" t="s">
        <v>935</v>
      </c>
      <c r="W12" s="80">
        <v>37</v>
      </c>
      <c r="X12" s="80">
        <v>37.5</v>
      </c>
      <c r="Y12" s="80">
        <v>38</v>
      </c>
      <c r="Z12" s="80">
        <v>37.5</v>
      </c>
    </row>
    <row r="13" spans="1:32">
      <c r="A13" s="4" t="s">
        <v>932</v>
      </c>
      <c r="B13" s="7">
        <v>24882000</v>
      </c>
      <c r="C13" s="7">
        <v>26980200</v>
      </c>
      <c r="D13" s="7">
        <v>28259400</v>
      </c>
      <c r="E13" s="7">
        <v>26707200</v>
      </c>
      <c r="F13" s="47">
        <f t="shared" si="0"/>
        <v>8.4326018808777325E-2</v>
      </c>
      <c r="G13" s="47">
        <f t="shared" si="1"/>
        <v>4.7412546978895742E-2</v>
      </c>
      <c r="H13" t="str">
        <f>VLOOKUP(A13,'brand list'!$G$1:$H$29,2,0)</f>
        <v>大中华区</v>
      </c>
      <c r="J13" s="4" t="s">
        <v>917</v>
      </c>
      <c r="K13" s="80"/>
      <c r="L13" s="80">
        <v>28.57</v>
      </c>
      <c r="M13" s="80">
        <v>26.62</v>
      </c>
      <c r="N13" s="80">
        <v>27.594999999999999</v>
      </c>
      <c r="P13" s="82" t="s">
        <v>929</v>
      </c>
      <c r="Q13" s="80">
        <v>6.8</v>
      </c>
      <c r="R13" s="80">
        <v>7.6</v>
      </c>
      <c r="S13" s="80">
        <v>4.8</v>
      </c>
      <c r="T13" s="80">
        <v>6.3999999999999995</v>
      </c>
      <c r="V13" s="82" t="s">
        <v>917</v>
      </c>
      <c r="W13" s="80">
        <v>24</v>
      </c>
      <c r="X13" s="80">
        <v>24.5</v>
      </c>
      <c r="Y13" s="80">
        <v>25</v>
      </c>
      <c r="Z13" s="80">
        <v>24.5</v>
      </c>
    </row>
    <row r="14" spans="1:32">
      <c r="A14" s="4" t="s">
        <v>936</v>
      </c>
      <c r="B14" s="7">
        <v>12742900</v>
      </c>
      <c r="C14" s="7">
        <v>13577200</v>
      </c>
      <c r="D14" s="7">
        <v>14151100</v>
      </c>
      <c r="E14" s="7">
        <v>13490400</v>
      </c>
      <c r="F14" s="47">
        <f t="shared" si="0"/>
        <v>6.5471752897692026E-2</v>
      </c>
      <c r="G14" s="47">
        <f t="shared" si="1"/>
        <v>4.2269392805585726E-2</v>
      </c>
      <c r="H14" t="str">
        <f>VLOOKUP(A14,'brand list'!$G$1:$H$29,2,0)</f>
        <v>中国公司</v>
      </c>
      <c r="J14" s="4" t="s">
        <v>916</v>
      </c>
      <c r="K14" s="80">
        <v>44.1</v>
      </c>
      <c r="L14" s="80">
        <v>44.67</v>
      </c>
      <c r="M14" s="80">
        <v>47.57</v>
      </c>
      <c r="N14" s="80">
        <v>45.446666666666665</v>
      </c>
      <c r="P14" s="82" t="s">
        <v>936</v>
      </c>
      <c r="Q14" s="80">
        <v>8.1</v>
      </c>
      <c r="R14" s="80">
        <v>9.1</v>
      </c>
      <c r="S14" s="80">
        <v>9.6999999999999993</v>
      </c>
      <c r="T14" s="80">
        <v>8.9666666666666668</v>
      </c>
      <c r="V14" s="82" t="s">
        <v>916</v>
      </c>
      <c r="W14" s="80">
        <v>29</v>
      </c>
      <c r="X14" s="80">
        <v>29.5</v>
      </c>
      <c r="Y14" s="80">
        <v>30</v>
      </c>
      <c r="Z14" s="80">
        <v>29.5</v>
      </c>
    </row>
    <row r="15" spans="1:32">
      <c r="A15" s="4" t="s">
        <v>144</v>
      </c>
      <c r="B15" s="7">
        <v>10103500.800000001</v>
      </c>
      <c r="C15" s="7">
        <v>10243476</v>
      </c>
      <c r="D15" s="7">
        <v>10102989.6</v>
      </c>
      <c r="E15" s="7">
        <v>10149988.799999999</v>
      </c>
      <c r="F15" s="47">
        <f t="shared" si="0"/>
        <v>1.3854128660038212E-2</v>
      </c>
      <c r="G15" s="47">
        <f t="shared" si="1"/>
        <v>-1.3714719495608763E-2</v>
      </c>
      <c r="H15" t="str">
        <f>VLOOKUP(A15,'brand list'!$G$1:$H$29,2,0)</f>
        <v>亚太区</v>
      </c>
      <c r="J15" s="4" t="s">
        <v>929</v>
      </c>
      <c r="K15" s="80">
        <v>41.7</v>
      </c>
      <c r="L15" s="80">
        <v>41.8</v>
      </c>
      <c r="M15" s="80">
        <v>38.4</v>
      </c>
      <c r="N15" s="80">
        <v>40.633333333333333</v>
      </c>
      <c r="P15" s="82" t="s">
        <v>1312</v>
      </c>
      <c r="Q15" s="80">
        <v>13.228749999999998</v>
      </c>
      <c r="R15" s="80">
        <v>13.762499999999999</v>
      </c>
      <c r="S15" s="80">
        <v>11.536250000000001</v>
      </c>
      <c r="T15" s="80">
        <v>12.842499999999999</v>
      </c>
      <c r="V15" s="82" t="s">
        <v>929</v>
      </c>
      <c r="W15" s="80">
        <v>33.799999999999997</v>
      </c>
      <c r="X15" s="80">
        <v>32.799999999999997</v>
      </c>
      <c r="Y15" s="80">
        <v>33.1</v>
      </c>
      <c r="Z15" s="80">
        <v>33.233333333333327</v>
      </c>
    </row>
    <row r="16" spans="1:32">
      <c r="A16" s="4" t="s">
        <v>913</v>
      </c>
      <c r="B16" s="7">
        <v>8423257</v>
      </c>
      <c r="C16" s="7">
        <v>10073510</v>
      </c>
      <c r="D16" s="7">
        <v>11145829</v>
      </c>
      <c r="E16" s="7">
        <v>9880865.333333334</v>
      </c>
      <c r="F16" s="47">
        <f t="shared" si="0"/>
        <v>0.19591625899577791</v>
      </c>
      <c r="G16" s="47">
        <f t="shared" si="1"/>
        <v>0.10644939053021241</v>
      </c>
      <c r="H16" t="str">
        <f>VLOOKUP(A16,'brand list'!$G$1:$H$29,2,0)</f>
        <v>中国公司</v>
      </c>
      <c r="J16" s="4" t="s">
        <v>936</v>
      </c>
      <c r="K16" s="80">
        <v>41.8</v>
      </c>
      <c r="L16" s="80">
        <v>43.2</v>
      </c>
      <c r="M16" s="80">
        <v>42.8</v>
      </c>
      <c r="N16" s="80">
        <v>42.6</v>
      </c>
      <c r="V16" s="82" t="s">
        <v>1312</v>
      </c>
      <c r="W16" s="80">
        <v>31.733333333333334</v>
      </c>
      <c r="X16" s="80">
        <v>31.666666666666668</v>
      </c>
      <c r="Y16" s="80">
        <v>31.755555555555556</v>
      </c>
      <c r="Z16" s="80">
        <v>31.718518518518522</v>
      </c>
    </row>
    <row r="17" spans="1:26">
      <c r="A17" s="4" t="s">
        <v>910</v>
      </c>
      <c r="B17" s="7">
        <v>6939072</v>
      </c>
      <c r="C17" s="7">
        <v>9801626.4000000004</v>
      </c>
      <c r="D17" s="7">
        <v>12634552.800000001</v>
      </c>
      <c r="E17" s="7">
        <v>9791750.4000000004</v>
      </c>
      <c r="F17" s="47">
        <f t="shared" si="0"/>
        <v>0.41252697767078939</v>
      </c>
      <c r="G17" s="47">
        <f t="shared" si="1"/>
        <v>0.28902615590408542</v>
      </c>
      <c r="H17" t="str">
        <f>VLOOKUP(A17,'brand list'!$G$1:$H$29,2,0)</f>
        <v>中国内地</v>
      </c>
      <c r="J17" s="4" t="s">
        <v>1312</v>
      </c>
      <c r="K17" s="80">
        <v>50.766666666666666</v>
      </c>
      <c r="L17" s="80">
        <v>48.743000000000002</v>
      </c>
      <c r="M17" s="80">
        <v>48.183999999999997</v>
      </c>
      <c r="N17" s="80">
        <v>49.178275862068965</v>
      </c>
    </row>
    <row r="18" spans="1:26">
      <c r="A18" s="4" t="s">
        <v>449</v>
      </c>
      <c r="B18" s="7">
        <v>6082560</v>
      </c>
      <c r="C18" s="7">
        <v>9346320</v>
      </c>
      <c r="D18" s="7">
        <v>13405680</v>
      </c>
      <c r="E18" s="7">
        <v>9611520</v>
      </c>
      <c r="F18" s="47">
        <f t="shared" ref="F18:F29" si="2">C18/B18-1</f>
        <v>0.53657670454545459</v>
      </c>
      <c r="G18" s="47">
        <f t="shared" si="1"/>
        <v>0.43432709344426468</v>
      </c>
      <c r="H18" t="str">
        <f>VLOOKUP(A18,'brand list'!$G$1:$H$29,2,0)</f>
        <v>大中华区</v>
      </c>
    </row>
    <row r="19" spans="1:26">
      <c r="A19" s="4" t="s">
        <v>129</v>
      </c>
      <c r="B19" s="7">
        <v>8846136</v>
      </c>
      <c r="C19" s="7">
        <v>8770939.2000000011</v>
      </c>
      <c r="D19" s="7"/>
      <c r="E19" s="7">
        <v>8808537.6000000015</v>
      </c>
      <c r="F19" s="47">
        <f t="shared" si="2"/>
        <v>-8.5005249749720013E-3</v>
      </c>
      <c r="G19" s="47"/>
      <c r="H19" t="str">
        <f>VLOOKUP(A19,'brand list'!$G$1:$H$29,2,0)</f>
        <v>中国内地</v>
      </c>
    </row>
    <row r="20" spans="1:26">
      <c r="A20" s="4" t="s">
        <v>147</v>
      </c>
      <c r="B20" s="7">
        <v>6624465.0600000015</v>
      </c>
      <c r="C20" s="7">
        <v>7118540.9400000004</v>
      </c>
      <c r="D20" s="7">
        <v>4478649.47</v>
      </c>
      <c r="E20" s="7">
        <v>6073885.1566666672</v>
      </c>
      <c r="F20" s="47">
        <f t="shared" si="2"/>
        <v>7.4583513615814612E-2</v>
      </c>
      <c r="G20" s="47">
        <f t="shared" si="1"/>
        <v>-0.37084726944058288</v>
      </c>
      <c r="H20" t="str">
        <f>VLOOKUP(A20,'brand list'!$G$1:$H$29,2,0)</f>
        <v>亚太区</v>
      </c>
      <c r="J20" s="3" t="s">
        <v>11</v>
      </c>
      <c r="K20" t="s">
        <v>29</v>
      </c>
      <c r="P20" s="81" t="s">
        <v>11</v>
      </c>
      <c r="Q20" s="80" t="s">
        <v>36</v>
      </c>
      <c r="V20" s="81" t="s">
        <v>11</v>
      </c>
      <c r="W20" s="80" t="s">
        <v>976</v>
      </c>
    </row>
    <row r="21" spans="1:26">
      <c r="A21" s="4" t="s">
        <v>164</v>
      </c>
      <c r="B21" s="7">
        <v>5942433.6000000006</v>
      </c>
      <c r="C21" s="7">
        <v>6285736.7999999998</v>
      </c>
      <c r="D21" s="7">
        <v>5439146.4000000004</v>
      </c>
      <c r="E21" s="7">
        <v>5889105.6000000006</v>
      </c>
      <c r="F21" s="47">
        <f t="shared" si="2"/>
        <v>5.7771482713748767E-2</v>
      </c>
      <c r="G21" s="47">
        <f t="shared" ref="G19:G32" si="3">D21/C21-1</f>
        <v>-0.13468435394876854</v>
      </c>
      <c r="H21" t="str">
        <f>VLOOKUP(A21,'brand list'!$G$1:$H$29,2,0)</f>
        <v>亚太区</v>
      </c>
      <c r="J21" s="3" t="s">
        <v>2</v>
      </c>
      <c r="K21" t="s">
        <v>17</v>
      </c>
      <c r="P21" s="81" t="s">
        <v>2</v>
      </c>
      <c r="Q21" s="80" t="s">
        <v>17</v>
      </c>
      <c r="V21" s="81" t="s">
        <v>2</v>
      </c>
      <c r="W21" s="80" t="s">
        <v>17</v>
      </c>
    </row>
    <row r="22" spans="1:26">
      <c r="A22" s="4" t="s">
        <v>938</v>
      </c>
      <c r="B22" s="7">
        <v>4541160</v>
      </c>
      <c r="C22" s="7">
        <v>4711200</v>
      </c>
      <c r="D22" s="7">
        <v>3809520</v>
      </c>
      <c r="E22" s="7">
        <v>4353960</v>
      </c>
      <c r="F22" s="47">
        <f t="shared" si="2"/>
        <v>3.7444177258673994E-2</v>
      </c>
      <c r="G22" s="47">
        <f t="shared" si="3"/>
        <v>-0.19139072847682115</v>
      </c>
      <c r="H22" t="str">
        <f>VLOOKUP(A22,'brand list'!$G$1:$H$29,2,0)</f>
        <v>大中华区</v>
      </c>
    </row>
    <row r="23" spans="1:26">
      <c r="A23" s="4" t="s">
        <v>912</v>
      </c>
      <c r="B23" s="7">
        <v>3744000</v>
      </c>
      <c r="C23" s="7">
        <v>4037083.2</v>
      </c>
      <c r="D23" s="7">
        <v>4400272.8</v>
      </c>
      <c r="E23" s="7">
        <v>4060452</v>
      </c>
      <c r="F23" s="47">
        <f t="shared" si="2"/>
        <v>7.8280769230769209E-2</v>
      </c>
      <c r="G23" s="47">
        <f t="shared" si="3"/>
        <v>8.9963367611546774E-2</v>
      </c>
      <c r="H23" t="str">
        <f>VLOOKUP(A23,'brand list'!$G$1:$H$29,2,0)</f>
        <v>亚太区</v>
      </c>
      <c r="J23" s="3" t="s">
        <v>1162</v>
      </c>
      <c r="K23" s="81" t="s">
        <v>1313</v>
      </c>
      <c r="L23" s="80"/>
      <c r="M23" s="80"/>
      <c r="N23" s="80"/>
      <c r="P23" s="81" t="s">
        <v>1162</v>
      </c>
      <c r="Q23" s="81" t="s">
        <v>1313</v>
      </c>
      <c r="R23" s="80"/>
      <c r="S23" s="80"/>
      <c r="T23" s="80"/>
      <c r="U23"/>
      <c r="V23" s="81" t="s">
        <v>1162</v>
      </c>
      <c r="W23" s="81" t="s">
        <v>1313</v>
      </c>
      <c r="X23" s="80"/>
      <c r="Y23" s="80"/>
      <c r="Z23" s="80"/>
    </row>
    <row r="24" spans="1:26">
      <c r="A24" s="4" t="s">
        <v>918</v>
      </c>
      <c r="B24" s="7">
        <v>3536132.7140000002</v>
      </c>
      <c r="C24" s="7">
        <v>4004463.32</v>
      </c>
      <c r="D24" s="7">
        <v>4313910.9539999999</v>
      </c>
      <c r="E24" s="7">
        <v>3951502.3293333333</v>
      </c>
      <c r="F24" s="47">
        <f t="shared" si="2"/>
        <v>0.13244146752349506</v>
      </c>
      <c r="G24" s="47">
        <f t="shared" si="3"/>
        <v>7.7275681975780941E-2</v>
      </c>
      <c r="H24" t="str">
        <f>VLOOKUP(A24,'brand list'!$G$1:$H$29,2,0)</f>
        <v>中国公司</v>
      </c>
      <c r="J24" s="3" t="s">
        <v>1311</v>
      </c>
      <c r="K24" s="80">
        <v>2023</v>
      </c>
      <c r="L24" s="80">
        <v>2024</v>
      </c>
      <c r="M24" s="80">
        <v>2025</v>
      </c>
      <c r="N24" s="80" t="s">
        <v>1312</v>
      </c>
      <c r="P24" s="81" t="s">
        <v>1311</v>
      </c>
      <c r="Q24" s="80">
        <v>2023</v>
      </c>
      <c r="R24" s="80">
        <v>2024</v>
      </c>
      <c r="S24" s="80">
        <v>2025</v>
      </c>
      <c r="T24" s="80" t="s">
        <v>1312</v>
      </c>
      <c r="U24"/>
      <c r="V24" s="81" t="s">
        <v>1311</v>
      </c>
      <c r="W24" s="80">
        <v>2023</v>
      </c>
      <c r="X24" s="80">
        <v>2024</v>
      </c>
      <c r="Y24" s="80">
        <v>2025</v>
      </c>
      <c r="Z24" s="80" t="s">
        <v>1312</v>
      </c>
    </row>
    <row r="25" spans="1:26">
      <c r="A25" s="4" t="s">
        <v>589</v>
      </c>
      <c r="B25" s="7">
        <v>3053952</v>
      </c>
      <c r="C25" s="7">
        <v>3985248</v>
      </c>
      <c r="D25" s="7">
        <v>4759248</v>
      </c>
      <c r="E25" s="7">
        <v>3932816</v>
      </c>
      <c r="F25" s="47">
        <f t="shared" si="2"/>
        <v>0.30494781843329566</v>
      </c>
      <c r="G25" s="47">
        <f t="shared" si="3"/>
        <v>0.19421626960229332</v>
      </c>
      <c r="H25" t="str">
        <f>VLOOKUP(A25,'brand list'!$G$1:$H$29,2,0)</f>
        <v>中国内地</v>
      </c>
      <c r="J25" s="4" t="s">
        <v>589</v>
      </c>
      <c r="K25" s="80">
        <v>52</v>
      </c>
      <c r="L25" s="80">
        <v>55.83</v>
      </c>
      <c r="M25" s="80">
        <v>56.8</v>
      </c>
      <c r="N25" s="80">
        <v>54.876666666666665</v>
      </c>
      <c r="P25" s="82" t="s">
        <v>589</v>
      </c>
      <c r="Q25" s="80">
        <v>6.2</v>
      </c>
      <c r="R25" s="80">
        <v>10.805581402394285</v>
      </c>
      <c r="S25" s="80"/>
      <c r="T25" s="80">
        <v>9.2703876015961892</v>
      </c>
      <c r="U25"/>
      <c r="V25" s="82" t="s">
        <v>589</v>
      </c>
      <c r="W25" s="80">
        <v>36.200000000000003</v>
      </c>
      <c r="X25" s="80">
        <v>41.08</v>
      </c>
      <c r="Y25" s="80">
        <v>39.229999999999997</v>
      </c>
      <c r="Z25" s="80">
        <v>38.836666666666666</v>
      </c>
    </row>
    <row r="26" spans="1:26">
      <c r="A26" s="4" t="s">
        <v>922</v>
      </c>
      <c r="B26" s="7">
        <v>3829680</v>
      </c>
      <c r="C26" s="7">
        <v>3510720</v>
      </c>
      <c r="D26" s="7">
        <v>2614320</v>
      </c>
      <c r="E26" s="7">
        <v>3318240</v>
      </c>
      <c r="F26" s="47">
        <f t="shared" si="2"/>
        <v>-8.3286332017296516E-2</v>
      </c>
      <c r="G26" s="47">
        <f t="shared" si="3"/>
        <v>-0.25533223954060702</v>
      </c>
      <c r="H26" t="str">
        <f>VLOOKUP(A26,'brand list'!$G$1:$H$29,2,0)</f>
        <v>亚太区</v>
      </c>
      <c r="J26" s="4" t="s">
        <v>979</v>
      </c>
      <c r="K26" s="80">
        <v>57.757253730000002</v>
      </c>
      <c r="L26" s="80">
        <v>57.835473180000001</v>
      </c>
      <c r="M26" s="80">
        <v>58.253060410000003</v>
      </c>
      <c r="N26" s="80">
        <v>57.948595773333331</v>
      </c>
      <c r="P26" s="82" t="s">
        <v>979</v>
      </c>
      <c r="Q26" s="80">
        <v>15.21277697</v>
      </c>
      <c r="R26" s="80">
        <v>15.21277697</v>
      </c>
      <c r="S26" s="80">
        <v>15.60305037</v>
      </c>
      <c r="T26" s="80">
        <v>15.342868103333332</v>
      </c>
      <c r="U26"/>
      <c r="V26" s="82" t="s">
        <v>910</v>
      </c>
      <c r="W26" s="80">
        <v>35.299999999999997</v>
      </c>
      <c r="X26" s="80">
        <v>35.5</v>
      </c>
      <c r="Y26" s="80">
        <v>36.6</v>
      </c>
      <c r="Z26" s="80">
        <v>35.800000000000004</v>
      </c>
    </row>
    <row r="27" spans="1:26">
      <c r="A27" s="4" t="s">
        <v>920</v>
      </c>
      <c r="B27" s="7">
        <v>2322100</v>
      </c>
      <c r="C27" s="7">
        <v>2345750</v>
      </c>
      <c r="D27" s="7">
        <v>2740650</v>
      </c>
      <c r="E27" s="7">
        <v>2469500</v>
      </c>
      <c r="F27" s="47">
        <f t="shared" si="2"/>
        <v>1.0184746565608638E-2</v>
      </c>
      <c r="G27" s="47">
        <f t="shared" si="3"/>
        <v>0.16834701055099655</v>
      </c>
      <c r="H27" t="str">
        <f>VLOOKUP(A27,'brand list'!$G$1:$H$29,2,0)</f>
        <v>大中华区</v>
      </c>
      <c r="J27" s="4" t="s">
        <v>910</v>
      </c>
      <c r="K27" s="80">
        <v>58.3</v>
      </c>
      <c r="L27" s="80">
        <v>59.2</v>
      </c>
      <c r="M27" s="80">
        <v>56.6</v>
      </c>
      <c r="N27" s="80">
        <v>58.033333333333331</v>
      </c>
      <c r="P27" s="82" t="s">
        <v>910</v>
      </c>
      <c r="Q27" s="80">
        <v>16.100000000000001</v>
      </c>
      <c r="R27" s="80">
        <v>17.100000000000001</v>
      </c>
      <c r="S27" s="80">
        <v>14.2</v>
      </c>
      <c r="T27" s="80">
        <v>15.800000000000002</v>
      </c>
      <c r="U27"/>
      <c r="V27" s="82" t="s">
        <v>164</v>
      </c>
      <c r="W27" s="80">
        <v>40.799999999999997</v>
      </c>
      <c r="X27" s="80">
        <v>41.5</v>
      </c>
      <c r="Y27" s="80">
        <v>42</v>
      </c>
      <c r="Z27" s="80">
        <v>41.43333333333333</v>
      </c>
    </row>
    <row r="28" spans="1:26">
      <c r="A28" s="4" t="s">
        <v>1079</v>
      </c>
      <c r="B28" s="7">
        <v>1142910</v>
      </c>
      <c r="C28" s="7">
        <v>2107620</v>
      </c>
      <c r="D28" s="7">
        <v>4139910</v>
      </c>
      <c r="E28" s="7">
        <v>2463480</v>
      </c>
      <c r="F28" s="47">
        <f t="shared" si="2"/>
        <v>0.84408221119773219</v>
      </c>
      <c r="G28" s="47">
        <f t="shared" si="3"/>
        <v>0.96425826287471184</v>
      </c>
      <c r="H28" t="str">
        <f>VLOOKUP(A28,'brand list'!$G$1:$H$29,2,0)</f>
        <v>亚太区</v>
      </c>
      <c r="J28" s="4" t="s">
        <v>164</v>
      </c>
      <c r="K28" s="80">
        <v>45.5</v>
      </c>
      <c r="L28" s="80">
        <v>46.1</v>
      </c>
      <c r="M28" s="80">
        <v>47.9</v>
      </c>
      <c r="N28" s="80">
        <v>46.5</v>
      </c>
      <c r="P28" s="82" t="s">
        <v>164</v>
      </c>
      <c r="Q28" s="80">
        <v>3.8</v>
      </c>
      <c r="R28" s="80">
        <v>4.0999999999999996</v>
      </c>
      <c r="S28" s="80">
        <v>-3.9</v>
      </c>
      <c r="T28" s="80">
        <v>1.3333333333333333</v>
      </c>
      <c r="U28"/>
      <c r="V28" s="82" t="s">
        <v>1079</v>
      </c>
      <c r="W28" s="80">
        <v>49.5</v>
      </c>
      <c r="X28" s="80">
        <v>51.5</v>
      </c>
      <c r="Y28" s="80">
        <v>50.3</v>
      </c>
      <c r="Z28" s="80">
        <v>50.433333333333337</v>
      </c>
    </row>
    <row r="29" spans="1:26">
      <c r="A29" s="4" t="s">
        <v>1156</v>
      </c>
      <c r="B29" s="7">
        <v>908100</v>
      </c>
      <c r="C29" s="7">
        <v>1766100</v>
      </c>
      <c r="D29" s="7">
        <v>2793000</v>
      </c>
      <c r="E29" s="7">
        <v>1822400</v>
      </c>
      <c r="F29" s="47">
        <f t="shared" si="2"/>
        <v>0.94482986455236206</v>
      </c>
      <c r="G29" s="47">
        <f t="shared" si="3"/>
        <v>0.58145065398335305</v>
      </c>
      <c r="H29" t="str">
        <f>VLOOKUP(A29,'brand list'!$G$1:$H$29,2,0)</f>
        <v>大中华区</v>
      </c>
      <c r="J29" s="4" t="s">
        <v>1079</v>
      </c>
      <c r="K29" s="80">
        <v>59.55</v>
      </c>
      <c r="L29" s="80">
        <v>60.63</v>
      </c>
      <c r="M29" s="80">
        <v>62.82</v>
      </c>
      <c r="N29" s="80">
        <v>61</v>
      </c>
      <c r="P29" s="82" t="s">
        <v>1079</v>
      </c>
      <c r="Q29" s="80">
        <v>4.4400000000000004</v>
      </c>
      <c r="R29" s="80">
        <v>10.45</v>
      </c>
      <c r="S29" s="80">
        <v>6.76</v>
      </c>
      <c r="T29" s="80">
        <v>7.2166666666666659</v>
      </c>
      <c r="U29"/>
      <c r="V29" s="82" t="s">
        <v>147</v>
      </c>
      <c r="W29" s="80">
        <v>15.936852344659986</v>
      </c>
      <c r="X29" s="80">
        <v>16.380126470192273</v>
      </c>
      <c r="Y29" s="80">
        <v>18.017231497287572</v>
      </c>
      <c r="Z29" s="80">
        <v>16.778070104046609</v>
      </c>
    </row>
    <row r="30" spans="1:26">
      <c r="A30" s="4" t="s">
        <v>919</v>
      </c>
      <c r="B30" s="7">
        <v>1384560</v>
      </c>
      <c r="C30" s="7">
        <v>1599072</v>
      </c>
      <c r="D30" s="7">
        <v>1696848</v>
      </c>
      <c r="E30" s="7">
        <v>1560160</v>
      </c>
      <c r="F30" s="47">
        <f t="shared" ref="F30" si="4">C30/B30-1</f>
        <v>0.15493153059455711</v>
      </c>
      <c r="G30" s="47">
        <f t="shared" ref="G30" si="5">D30/C30-1</f>
        <v>6.1145464369334324E-2</v>
      </c>
      <c r="H30" t="str">
        <f>VLOOKUP(A30,'brand list'!$G$1:$H$29,2,0)</f>
        <v>亚太区</v>
      </c>
      <c r="J30" s="4" t="s">
        <v>938</v>
      </c>
      <c r="K30" s="80">
        <v>47</v>
      </c>
      <c r="L30" s="80">
        <v>47.6</v>
      </c>
      <c r="M30" s="80">
        <v>45</v>
      </c>
      <c r="N30" s="80">
        <v>46.533333333333331</v>
      </c>
      <c r="P30" s="82" t="s">
        <v>912</v>
      </c>
      <c r="Q30" s="80">
        <v>3.2</v>
      </c>
      <c r="R30" s="80">
        <v>3.6</v>
      </c>
      <c r="S30" s="80">
        <v>3.9</v>
      </c>
      <c r="T30" s="80">
        <v>3.5666666666666669</v>
      </c>
      <c r="U30"/>
      <c r="V30" s="82" t="s">
        <v>917</v>
      </c>
      <c r="W30" s="80"/>
      <c r="X30" s="80">
        <v>20.329999999999998</v>
      </c>
      <c r="Y30" s="80">
        <v>25.68</v>
      </c>
      <c r="Z30" s="80">
        <v>23.004999999999999</v>
      </c>
    </row>
    <row r="31" spans="1:26">
      <c r="A31" s="4" t="s">
        <v>916</v>
      </c>
      <c r="B31" s="7">
        <v>1390710.923</v>
      </c>
      <c r="C31" s="7">
        <v>1591589.61</v>
      </c>
      <c r="D31" s="7">
        <v>1380713.0959999999</v>
      </c>
      <c r="E31" s="7">
        <v>1454337.8763333333</v>
      </c>
      <c r="F31" s="47">
        <f t="shared" ref="F31" si="6">C31/B31-1</f>
        <v>0.14444316477120256</v>
      </c>
      <c r="G31" s="47">
        <f t="shared" ref="G31" si="7">D31/C31-1</f>
        <v>-0.13249427658678936</v>
      </c>
      <c r="H31" t="str">
        <f>VLOOKUP(A31,'brand list'!$G$1:$H$29,2,0)</f>
        <v>中国公司</v>
      </c>
      <c r="J31" s="4" t="s">
        <v>912</v>
      </c>
      <c r="K31" s="80">
        <v>49.5</v>
      </c>
      <c r="L31" s="80">
        <v>50</v>
      </c>
      <c r="M31" s="80">
        <v>50.2</v>
      </c>
      <c r="N31" s="80">
        <v>49.9</v>
      </c>
      <c r="P31" s="82" t="s">
        <v>147</v>
      </c>
      <c r="Q31" s="80">
        <v>4.63</v>
      </c>
      <c r="R31" s="80">
        <v>2.08</v>
      </c>
      <c r="S31" s="80">
        <v>1.44</v>
      </c>
      <c r="T31" s="80">
        <v>2.7166666666666668</v>
      </c>
      <c r="U31"/>
      <c r="V31" s="82" t="s">
        <v>129</v>
      </c>
      <c r="W31" s="80">
        <v>42.1</v>
      </c>
      <c r="X31" s="80">
        <v>43.1</v>
      </c>
      <c r="Y31" s="80"/>
      <c r="Z31" s="80">
        <v>42.6</v>
      </c>
    </row>
    <row r="32" spans="1:26">
      <c r="A32" s="4" t="s">
        <v>917</v>
      </c>
      <c r="B32" s="7"/>
      <c r="C32" s="7">
        <v>760522</v>
      </c>
      <c r="D32" s="7">
        <v>787967</v>
      </c>
      <c r="E32" s="7">
        <v>778818.66666666663</v>
      </c>
      <c r="F32" s="47"/>
      <c r="G32" s="47">
        <f t="shared" si="3"/>
        <v>3.6087055995750239E-2</v>
      </c>
      <c r="H32" t="str">
        <f>VLOOKUP(A32,'brand list'!$G$1:$H$29,2,0)</f>
        <v>中国内地</v>
      </c>
      <c r="J32" s="4" t="s">
        <v>147</v>
      </c>
      <c r="K32" s="80">
        <v>22.06</v>
      </c>
      <c r="L32" s="80">
        <v>18.989999999999998</v>
      </c>
      <c r="M32" s="80">
        <v>19.809999999999999</v>
      </c>
      <c r="N32" s="80">
        <v>20.286666666666665</v>
      </c>
      <c r="P32" s="82" t="s">
        <v>917</v>
      </c>
      <c r="Q32" s="80">
        <v>7.33</v>
      </c>
      <c r="R32" s="80">
        <v>6.42</v>
      </c>
      <c r="S32" s="80">
        <v>-3.38</v>
      </c>
      <c r="T32" s="80">
        <v>3.456666666666667</v>
      </c>
      <c r="U32"/>
      <c r="V32" s="82" t="s">
        <v>144</v>
      </c>
      <c r="W32" s="80">
        <v>47.9</v>
      </c>
      <c r="X32" s="80">
        <v>49.4</v>
      </c>
      <c r="Y32" s="80">
        <v>48.5</v>
      </c>
      <c r="Z32" s="80">
        <v>48.6</v>
      </c>
    </row>
    <row r="33" spans="1:26">
      <c r="A33" s="4" t="s">
        <v>1312</v>
      </c>
      <c r="B33" s="7">
        <v>14113233.203879997</v>
      </c>
      <c r="C33" s="7">
        <v>15629752.498888889</v>
      </c>
      <c r="D33" s="7">
        <v>14823629.773846159</v>
      </c>
      <c r="E33" s="7">
        <v>14874981.047269234</v>
      </c>
      <c r="F33"/>
      <c r="G33"/>
      <c r="J33" s="4" t="s">
        <v>919</v>
      </c>
      <c r="K33" s="80">
        <v>40.5</v>
      </c>
      <c r="L33" s="80">
        <v>41.8</v>
      </c>
      <c r="M33" s="80">
        <v>41.9</v>
      </c>
      <c r="N33" s="80">
        <v>41.4</v>
      </c>
      <c r="P33" s="82" t="s">
        <v>129</v>
      </c>
      <c r="Q33" s="80">
        <v>6.8</v>
      </c>
      <c r="R33" s="80">
        <v>8.1</v>
      </c>
      <c r="S33" s="80"/>
      <c r="T33" s="80">
        <v>7.4499999999999993</v>
      </c>
      <c r="U33"/>
      <c r="V33" s="82" t="s">
        <v>449</v>
      </c>
      <c r="W33" s="80">
        <v>45.8</v>
      </c>
      <c r="X33" s="80">
        <v>46.9</v>
      </c>
      <c r="Y33" s="80">
        <v>47.3</v>
      </c>
      <c r="Z33" s="80">
        <v>46.666666666666664</v>
      </c>
    </row>
    <row r="34" spans="1:26">
      <c r="J34" s="4" t="s">
        <v>917</v>
      </c>
      <c r="K34" s="80">
        <v>28.3</v>
      </c>
      <c r="L34" s="80">
        <v>28.48</v>
      </c>
      <c r="M34" s="80">
        <v>28.61</v>
      </c>
      <c r="N34" s="80">
        <v>28.463333333333335</v>
      </c>
      <c r="P34" s="82" t="s">
        <v>144</v>
      </c>
      <c r="Q34" s="80">
        <v>-9.8000000000000007</v>
      </c>
      <c r="R34" s="80">
        <v>-2</v>
      </c>
      <c r="S34" s="80">
        <v>2.7</v>
      </c>
      <c r="T34" s="80">
        <v>-3.0333333333333337</v>
      </c>
      <c r="U34"/>
      <c r="V34" s="82" t="s">
        <v>1312</v>
      </c>
      <c r="W34" s="80">
        <v>39.192106543082502</v>
      </c>
      <c r="X34" s="80">
        <v>38.410014052243582</v>
      </c>
      <c r="Y34" s="80">
        <v>38.45340393716095</v>
      </c>
      <c r="Z34" s="80">
        <v>38.674168412485599</v>
      </c>
    </row>
    <row r="35" spans="1:26">
      <c r="J35" s="4" t="s">
        <v>129</v>
      </c>
      <c r="K35" s="80">
        <v>51.9</v>
      </c>
      <c r="L35" s="80">
        <v>53.2</v>
      </c>
      <c r="M35" s="80"/>
      <c r="N35" s="80">
        <v>52.55</v>
      </c>
      <c r="P35" s="82" t="s">
        <v>449</v>
      </c>
      <c r="Q35" s="80">
        <v>-4.7</v>
      </c>
      <c r="R35" s="80">
        <v>1.5</v>
      </c>
      <c r="S35" s="80">
        <v>6.7</v>
      </c>
      <c r="T35" s="80">
        <v>1.1666666666666667</v>
      </c>
      <c r="U35"/>
    </row>
    <row r="36" spans="1:26">
      <c r="J36" s="4" t="s">
        <v>144</v>
      </c>
      <c r="K36" s="80">
        <v>51.6</v>
      </c>
      <c r="L36" s="80">
        <v>53.5</v>
      </c>
      <c r="M36" s="80">
        <v>54.8</v>
      </c>
      <c r="N36" s="80">
        <v>53.29999999999999</v>
      </c>
      <c r="P36" s="82" t="s">
        <v>1213</v>
      </c>
      <c r="Q36" s="80">
        <v>-0.3</v>
      </c>
      <c r="R36" s="80">
        <v>3.5</v>
      </c>
      <c r="S36" s="80">
        <v>5.6</v>
      </c>
      <c r="T36" s="80">
        <v>2.9333333333333336</v>
      </c>
      <c r="U36"/>
    </row>
    <row r="37" spans="1:26">
      <c r="J37" s="4" t="s">
        <v>449</v>
      </c>
      <c r="K37" s="80">
        <v>52.452049813653311</v>
      </c>
      <c r="L37" s="80">
        <v>55.404857909054087</v>
      </c>
      <c r="M37" s="80">
        <v>57.633029758459998</v>
      </c>
      <c r="N37" s="80">
        <v>55.163312493722465</v>
      </c>
      <c r="P37" s="82" t="s">
        <v>1327</v>
      </c>
      <c r="Q37" s="80">
        <v>5.97</v>
      </c>
      <c r="R37" s="80">
        <v>4.8600000000000003</v>
      </c>
      <c r="S37" s="80">
        <v>5.42</v>
      </c>
      <c r="T37" s="80">
        <v>5.416666666666667</v>
      </c>
      <c r="U37"/>
    </row>
    <row r="38" spans="1:26">
      <c r="J38" s="4" t="s">
        <v>1213</v>
      </c>
      <c r="K38" s="80">
        <v>47.5</v>
      </c>
      <c r="L38" s="80">
        <v>50.8</v>
      </c>
      <c r="M38" s="80">
        <v>51.6</v>
      </c>
      <c r="N38" s="80">
        <v>49.966666666666669</v>
      </c>
      <c r="P38" s="82" t="s">
        <v>1312</v>
      </c>
      <c r="Q38" s="80">
        <v>4.5294443823076929</v>
      </c>
      <c r="R38" s="80">
        <v>6.8952814124848976</v>
      </c>
      <c r="S38" s="80">
        <v>5.0039136700000002</v>
      </c>
      <c r="T38" s="80">
        <v>5.5384149240733844</v>
      </c>
      <c r="U38"/>
      <c r="V38" s="81" t="s">
        <v>11</v>
      </c>
      <c r="W38" s="80" t="s">
        <v>1395</v>
      </c>
    </row>
    <row r="39" spans="1:26">
      <c r="J39" s="4" t="s">
        <v>1312</v>
      </c>
      <c r="K39" s="80">
        <v>47.422807395975234</v>
      </c>
      <c r="L39" s="80">
        <v>48.526452220646718</v>
      </c>
      <c r="M39" s="80">
        <v>48.60969924372769</v>
      </c>
      <c r="N39" s="80">
        <v>48.17599328783335</v>
      </c>
      <c r="V39" s="81" t="s">
        <v>2</v>
      </c>
      <c r="W39" s="80" t="s">
        <v>1314</v>
      </c>
    </row>
    <row r="41" spans="1:26">
      <c r="V41" s="81" t="s">
        <v>1162</v>
      </c>
      <c r="W41" s="81" t="s">
        <v>1313</v>
      </c>
      <c r="X41"/>
      <c r="Y41"/>
      <c r="Z41"/>
    </row>
    <row r="42" spans="1:26">
      <c r="V42" s="81" t="s">
        <v>1311</v>
      </c>
      <c r="W42" s="80" t="s">
        <v>1312</v>
      </c>
      <c r="X42"/>
      <c r="Y42"/>
      <c r="Z42"/>
    </row>
    <row r="43" spans="1:26">
      <c r="V43" s="82" t="s">
        <v>1312</v>
      </c>
      <c r="W43" s="80"/>
      <c r="X43"/>
      <c r="Y43"/>
      <c r="Z43"/>
    </row>
    <row r="44" spans="1:26">
      <c r="V44"/>
      <c r="W44"/>
      <c r="X44"/>
      <c r="Y44"/>
      <c r="Z44"/>
    </row>
    <row r="45" spans="1:26">
      <c r="V45"/>
      <c r="W45"/>
      <c r="X45"/>
      <c r="Y45"/>
      <c r="Z45"/>
    </row>
    <row r="46" spans="1:26">
      <c r="V46"/>
      <c r="W46"/>
      <c r="X46"/>
      <c r="Y46"/>
      <c r="Z46"/>
    </row>
    <row r="47" spans="1:26">
      <c r="V47"/>
      <c r="W47"/>
      <c r="X47"/>
      <c r="Y47"/>
      <c r="Z47"/>
    </row>
    <row r="48" spans="1:26">
      <c r="V48"/>
      <c r="W48"/>
      <c r="X48"/>
      <c r="Y48"/>
      <c r="Z48"/>
    </row>
    <row r="49" spans="22:26">
      <c r="V49"/>
      <c r="W49"/>
      <c r="X49"/>
      <c r="Y49"/>
      <c r="Z49"/>
    </row>
    <row r="50" spans="22:26">
      <c r="V50"/>
      <c r="W50"/>
      <c r="X50"/>
      <c r="Y50"/>
      <c r="Z50"/>
    </row>
    <row r="51" spans="22:26">
      <c r="V51"/>
      <c r="W51"/>
      <c r="X51"/>
      <c r="Y51"/>
      <c r="Z51"/>
    </row>
    <row r="52" spans="22:26">
      <c r="V52"/>
      <c r="W52"/>
      <c r="X52"/>
      <c r="Y52"/>
      <c r="Z52"/>
    </row>
    <row r="56" spans="22:26">
      <c r="V56" s="81" t="s">
        <v>11</v>
      </c>
      <c r="W56" s="80" t="s">
        <v>1395</v>
      </c>
    </row>
    <row r="57" spans="22:26">
      <c r="V57" s="81" t="s">
        <v>2</v>
      </c>
      <c r="W57" s="80" t="s">
        <v>17</v>
      </c>
    </row>
    <row r="59" spans="22:26">
      <c r="V59" s="81" t="s">
        <v>1162</v>
      </c>
      <c r="W59" s="81" t="s">
        <v>1313</v>
      </c>
      <c r="X59" s="80"/>
      <c r="Y59" s="80"/>
      <c r="Z59" s="80"/>
    </row>
    <row r="60" spans="22:26">
      <c r="V60" s="81" t="s">
        <v>1311</v>
      </c>
      <c r="W60" s="80">
        <v>2023</v>
      </c>
      <c r="X60" s="80">
        <v>2024</v>
      </c>
      <c r="Y60" s="80">
        <v>2025</v>
      </c>
      <c r="Z60" s="80" t="s">
        <v>1312</v>
      </c>
    </row>
    <row r="61" spans="22:26">
      <c r="V61" s="82" t="s">
        <v>589</v>
      </c>
      <c r="W61" s="80">
        <v>11648640</v>
      </c>
      <c r="X61" s="80">
        <v>13380768</v>
      </c>
      <c r="Y61" s="80">
        <v>15269376</v>
      </c>
      <c r="Z61" s="80">
        <v>13432928</v>
      </c>
    </row>
    <row r="62" spans="22:26">
      <c r="V62" s="82" t="s">
        <v>910</v>
      </c>
      <c r="W62" s="80">
        <v>24459969.600000001</v>
      </c>
      <c r="X62" s="80">
        <v>27089128.800000001</v>
      </c>
      <c r="Y62" s="80">
        <v>29279203.199999999</v>
      </c>
      <c r="Z62" s="80">
        <v>26942767.200000003</v>
      </c>
    </row>
    <row r="63" spans="22:26">
      <c r="V63" s="82" t="s">
        <v>1079</v>
      </c>
      <c r="W63" s="80">
        <v>7184700</v>
      </c>
      <c r="X63" s="80">
        <v>9673020</v>
      </c>
      <c r="Y63" s="80">
        <v>12284460</v>
      </c>
      <c r="Z63" s="80">
        <v>9714060</v>
      </c>
    </row>
    <row r="64" spans="22:26">
      <c r="V64" s="82" t="s">
        <v>147</v>
      </c>
      <c r="W64" s="80">
        <v>2698074.06</v>
      </c>
      <c r="X64" s="80">
        <v>2685377.19</v>
      </c>
      <c r="Y64" s="80">
        <v>2605463.04</v>
      </c>
      <c r="Z64" s="80">
        <v>2662971.4300000002</v>
      </c>
    </row>
    <row r="65" spans="22:26">
      <c r="V65" s="82" t="s">
        <v>919</v>
      </c>
      <c r="W65" s="80">
        <v>3535968</v>
      </c>
      <c r="X65" s="80">
        <v>3733440</v>
      </c>
      <c r="Y65" s="80">
        <v>4121424</v>
      </c>
      <c r="Z65" s="80">
        <v>3796944</v>
      </c>
    </row>
    <row r="66" spans="22:26">
      <c r="V66" s="82" t="s">
        <v>144</v>
      </c>
      <c r="W66" s="80">
        <v>34190416.799999997</v>
      </c>
      <c r="X66" s="80">
        <v>33774120</v>
      </c>
      <c r="Y66" s="80">
        <v>33511896</v>
      </c>
      <c r="Z66" s="80">
        <v>33825477.600000001</v>
      </c>
    </row>
    <row r="67" spans="22:26">
      <c r="V67" s="82" t="s">
        <v>449</v>
      </c>
      <c r="W67" s="80">
        <v>14504400</v>
      </c>
      <c r="X67" s="80">
        <v>17498880</v>
      </c>
      <c r="Y67" s="80">
        <v>22353120</v>
      </c>
      <c r="Z67" s="80">
        <v>18118800</v>
      </c>
    </row>
    <row r="68" spans="22:26">
      <c r="V68" s="82" t="s">
        <v>1312</v>
      </c>
      <c r="W68" s="80">
        <v>14031738.351428572</v>
      </c>
      <c r="X68" s="80">
        <v>15404961.998571428</v>
      </c>
      <c r="Y68" s="80">
        <v>17060706.034285717</v>
      </c>
      <c r="Z68" s="80">
        <v>15499135.461428571</v>
      </c>
    </row>
    <row r="69" spans="22:26">
      <c r="V69"/>
      <c r="W69"/>
      <c r="X69"/>
      <c r="Y69"/>
      <c r="Z69"/>
    </row>
    <row r="70" spans="22:26">
      <c r="V70"/>
      <c r="W70"/>
      <c r="X70"/>
      <c r="Y70"/>
      <c r="Z70"/>
    </row>
  </sheetData>
  <phoneticPr fontId="3" type="noConversion"/>
  <pageMargins left="0.7" right="0.7" top="0.75" bottom="0.75" header="0.3" footer="0.3"/>
  <pageSetup paperSize="9"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6859-2EF2-4762-9F54-D141056A4662}">
  <dimension ref="A1:H55"/>
  <sheetViews>
    <sheetView zoomScaleNormal="100" workbookViewId="0">
      <selection activeCell="F32" sqref="F32"/>
    </sheetView>
  </sheetViews>
  <sheetFormatPr defaultRowHeight="14.5"/>
  <cols>
    <col min="2" max="2" width="29.7265625" customWidth="1"/>
    <col min="3" max="3" width="18.08984375" customWidth="1"/>
    <col min="4" max="4" width="9.08984375" bestFit="1" customWidth="1"/>
    <col min="5" max="5" width="31.6328125" style="57" customWidth="1"/>
    <col min="6" max="6" width="48.26953125" customWidth="1"/>
    <col min="7" max="7" width="19.90625" bestFit="1" customWidth="1"/>
    <col min="8" max="8" width="14.1796875" bestFit="1" customWidth="1"/>
  </cols>
  <sheetData>
    <row r="1" spans="1:8">
      <c r="A1" t="s">
        <v>0</v>
      </c>
      <c r="B1" t="s">
        <v>1</v>
      </c>
      <c r="C1" s="95" t="s">
        <v>1316</v>
      </c>
      <c r="D1" s="95" t="s">
        <v>1721</v>
      </c>
      <c r="E1" s="97" t="s">
        <v>1722</v>
      </c>
      <c r="F1" s="95"/>
      <c r="G1" s="3" t="s">
        <v>11</v>
      </c>
      <c r="H1" t="s">
        <v>23</v>
      </c>
    </row>
    <row r="2" spans="1:8">
      <c r="A2">
        <v>1</v>
      </c>
      <c r="B2" t="s">
        <v>141</v>
      </c>
      <c r="C2" s="96" t="s">
        <v>910</v>
      </c>
      <c r="D2" s="96" t="s">
        <v>1720</v>
      </c>
      <c r="E2" s="98" t="s">
        <v>1317</v>
      </c>
      <c r="F2" s="96"/>
      <c r="H2" s="2"/>
    </row>
    <row r="3" spans="1:8">
      <c r="A3">
        <v>2</v>
      </c>
      <c r="B3" t="s">
        <v>129</v>
      </c>
      <c r="C3" s="96" t="s">
        <v>129</v>
      </c>
      <c r="D3" s="96" t="s">
        <v>1720</v>
      </c>
      <c r="E3" s="98" t="s">
        <v>1318</v>
      </c>
      <c r="F3" s="96"/>
      <c r="G3" s="3" t="s">
        <v>1311</v>
      </c>
      <c r="H3" s="3" t="s">
        <v>2</v>
      </c>
    </row>
    <row r="4" spans="1:8">
      <c r="A4">
        <v>3</v>
      </c>
      <c r="B4" t="s">
        <v>245</v>
      </c>
      <c r="C4" s="96" t="s">
        <v>245</v>
      </c>
      <c r="D4" s="96" t="s">
        <v>1720</v>
      </c>
      <c r="E4" s="98" t="s">
        <v>1723</v>
      </c>
      <c r="F4" s="96"/>
      <c r="G4" s="4" t="s">
        <v>913</v>
      </c>
      <c r="H4" s="4" t="s">
        <v>586</v>
      </c>
    </row>
    <row r="5" spans="1:8">
      <c r="A5">
        <v>4</v>
      </c>
      <c r="B5" t="s">
        <v>100</v>
      </c>
      <c r="C5" s="96" t="s">
        <v>932</v>
      </c>
      <c r="D5" s="96" t="s">
        <v>1720</v>
      </c>
      <c r="E5" s="98" t="s">
        <v>1724</v>
      </c>
      <c r="F5" s="96"/>
      <c r="G5" s="4" t="s">
        <v>932</v>
      </c>
      <c r="H5" s="4" t="s">
        <v>101</v>
      </c>
    </row>
    <row r="6" spans="1:8">
      <c r="A6">
        <v>5</v>
      </c>
      <c r="B6" t="s">
        <v>188</v>
      </c>
      <c r="C6" s="96" t="s">
        <v>589</v>
      </c>
      <c r="D6" s="96" t="s">
        <v>1720</v>
      </c>
      <c r="E6" s="98" t="s">
        <v>1725</v>
      </c>
      <c r="F6" s="96"/>
      <c r="G6" s="4" t="s">
        <v>589</v>
      </c>
      <c r="H6" s="4" t="s">
        <v>457</v>
      </c>
    </row>
    <row r="7" spans="1:8">
      <c r="A7">
        <v>6</v>
      </c>
      <c r="B7" t="s">
        <v>538</v>
      </c>
      <c r="C7" s="96" t="s">
        <v>920</v>
      </c>
      <c r="D7" s="96" t="s">
        <v>1720</v>
      </c>
      <c r="E7" s="98" t="s">
        <v>1319</v>
      </c>
      <c r="F7" s="96"/>
      <c r="G7" s="4" t="s">
        <v>920</v>
      </c>
      <c r="H7" s="4" t="s">
        <v>101</v>
      </c>
    </row>
    <row r="8" spans="1:8">
      <c r="A8">
        <v>7</v>
      </c>
      <c r="B8" t="s">
        <v>484</v>
      </c>
      <c r="C8" s="96" t="s">
        <v>938</v>
      </c>
      <c r="D8" s="96" t="s">
        <v>1720</v>
      </c>
      <c r="E8" s="98" t="s">
        <v>1320</v>
      </c>
      <c r="F8" s="96"/>
      <c r="G8" s="4" t="s">
        <v>979</v>
      </c>
      <c r="H8" s="4" t="s">
        <v>1009</v>
      </c>
    </row>
    <row r="9" spans="1:8">
      <c r="A9">
        <v>8</v>
      </c>
      <c r="B9" t="s">
        <v>449</v>
      </c>
      <c r="C9" s="96" t="s">
        <v>449</v>
      </c>
      <c r="D9" s="96" t="s">
        <v>1720</v>
      </c>
      <c r="E9" s="98" t="s">
        <v>1726</v>
      </c>
      <c r="F9" s="96"/>
      <c r="G9" s="4" t="s">
        <v>910</v>
      </c>
      <c r="H9" s="4" t="s">
        <v>457</v>
      </c>
    </row>
    <row r="10" spans="1:8">
      <c r="A10">
        <v>9</v>
      </c>
      <c r="B10" t="s">
        <v>558</v>
      </c>
      <c r="C10" s="96" t="s">
        <v>919</v>
      </c>
      <c r="D10" s="96" t="s">
        <v>1720</v>
      </c>
      <c r="E10" s="98" t="s">
        <v>1321</v>
      </c>
      <c r="F10" s="96"/>
      <c r="G10" s="4" t="s">
        <v>245</v>
      </c>
      <c r="H10" s="4" t="s">
        <v>101</v>
      </c>
    </row>
    <row r="11" spans="1:8">
      <c r="A11">
        <v>10</v>
      </c>
      <c r="B11" t="s">
        <v>430</v>
      </c>
      <c r="C11" s="96" t="s">
        <v>912</v>
      </c>
      <c r="D11" s="96" t="s">
        <v>1720</v>
      </c>
      <c r="E11" s="98" t="s">
        <v>1727</v>
      </c>
      <c r="F11" s="96"/>
      <c r="G11" s="4" t="s">
        <v>922</v>
      </c>
      <c r="H11" s="4" t="s">
        <v>463</v>
      </c>
    </row>
    <row r="12" spans="1:8">
      <c r="A12">
        <v>11</v>
      </c>
      <c r="B12" t="s">
        <v>147</v>
      </c>
      <c r="C12" s="96" t="s">
        <v>147</v>
      </c>
      <c r="D12" s="96" t="s">
        <v>1719</v>
      </c>
      <c r="E12" s="98" t="s">
        <v>1728</v>
      </c>
      <c r="F12" s="96"/>
      <c r="G12" s="4" t="s">
        <v>977</v>
      </c>
      <c r="H12" s="4" t="s">
        <v>101</v>
      </c>
    </row>
    <row r="13" spans="1:8">
      <c r="A13">
        <v>12</v>
      </c>
      <c r="B13" t="s">
        <v>508</v>
      </c>
      <c r="C13" s="96" t="s">
        <v>922</v>
      </c>
      <c r="D13" s="96" t="s">
        <v>1720</v>
      </c>
      <c r="E13" s="98" t="s">
        <v>1729</v>
      </c>
      <c r="F13" s="96"/>
      <c r="G13" s="4" t="s">
        <v>164</v>
      </c>
      <c r="H13" s="4" t="s">
        <v>463</v>
      </c>
    </row>
    <row r="14" spans="1:8">
      <c r="A14">
        <v>13</v>
      </c>
      <c r="B14" t="s">
        <v>144</v>
      </c>
      <c r="C14" s="96" t="s">
        <v>144</v>
      </c>
      <c r="D14" s="96" t="s">
        <v>1720</v>
      </c>
      <c r="E14" s="98" t="s">
        <v>1730</v>
      </c>
      <c r="F14" s="96"/>
      <c r="G14" s="4" t="s">
        <v>930</v>
      </c>
      <c r="H14" s="4" t="s">
        <v>586</v>
      </c>
    </row>
    <row r="15" spans="1:8">
      <c r="A15">
        <v>14</v>
      </c>
      <c r="B15" t="s">
        <v>160</v>
      </c>
      <c r="C15" s="96" t="s">
        <v>1079</v>
      </c>
      <c r="D15" s="96" t="s">
        <v>1720</v>
      </c>
      <c r="E15" s="98" t="s">
        <v>1322</v>
      </c>
      <c r="F15" s="96"/>
      <c r="G15" s="4" t="s">
        <v>1079</v>
      </c>
      <c r="H15" s="4" t="s">
        <v>463</v>
      </c>
    </row>
    <row r="16" spans="1:8">
      <c r="A16">
        <v>15</v>
      </c>
      <c r="B16" t="s">
        <v>164</v>
      </c>
      <c r="C16" s="96" t="s">
        <v>164</v>
      </c>
      <c r="D16" s="96" t="s">
        <v>1720</v>
      </c>
      <c r="E16" s="98" t="s">
        <v>1323</v>
      </c>
      <c r="F16" s="96"/>
      <c r="G16" s="4" t="s">
        <v>1156</v>
      </c>
      <c r="H16" s="4" t="s">
        <v>101</v>
      </c>
    </row>
    <row r="17" spans="1:8">
      <c r="A17">
        <v>16</v>
      </c>
      <c r="B17" t="s">
        <v>67</v>
      </c>
      <c r="C17" s="96" t="s">
        <v>1324</v>
      </c>
      <c r="D17" s="96" t="s">
        <v>1719</v>
      </c>
      <c r="E17" s="98" t="s">
        <v>1731</v>
      </c>
      <c r="F17" s="96"/>
      <c r="G17" s="4" t="s">
        <v>918</v>
      </c>
      <c r="H17" s="4" t="s">
        <v>586</v>
      </c>
    </row>
    <row r="18" spans="1:8">
      <c r="A18">
        <v>17</v>
      </c>
      <c r="B18" t="s">
        <v>50</v>
      </c>
      <c r="C18" s="96" t="s">
        <v>935</v>
      </c>
      <c r="D18" s="96" t="s">
        <v>1719</v>
      </c>
      <c r="E18" s="98" t="s">
        <v>1732</v>
      </c>
      <c r="F18" s="96"/>
      <c r="G18" s="4" t="s">
        <v>938</v>
      </c>
      <c r="H18" s="4" t="s">
        <v>101</v>
      </c>
    </row>
    <row r="19" spans="1:8">
      <c r="A19">
        <v>18</v>
      </c>
      <c r="B19" t="s">
        <v>16</v>
      </c>
      <c r="C19" s="96" t="s">
        <v>930</v>
      </c>
      <c r="D19" s="96" t="s">
        <v>1719</v>
      </c>
      <c r="E19" s="98" t="s">
        <v>1733</v>
      </c>
      <c r="F19" s="96"/>
      <c r="G19" s="4" t="s">
        <v>912</v>
      </c>
      <c r="H19" s="4" t="s">
        <v>463</v>
      </c>
    </row>
    <row r="20" spans="1:8">
      <c r="A20">
        <v>19</v>
      </c>
      <c r="B20" t="s">
        <v>605</v>
      </c>
      <c r="C20" s="96" t="s">
        <v>1325</v>
      </c>
      <c r="D20" s="96" t="s">
        <v>1719</v>
      </c>
      <c r="E20" s="98" t="s">
        <v>1326</v>
      </c>
      <c r="F20" s="96"/>
      <c r="G20" s="4" t="s">
        <v>147</v>
      </c>
      <c r="H20" s="4" t="s">
        <v>463</v>
      </c>
    </row>
    <row r="21" spans="1:8">
      <c r="A21">
        <v>20</v>
      </c>
      <c r="B21" t="s">
        <v>69</v>
      </c>
      <c r="C21" s="96" t="s">
        <v>916</v>
      </c>
      <c r="D21" s="96" t="s">
        <v>1719</v>
      </c>
      <c r="E21" s="98" t="s">
        <v>1734</v>
      </c>
      <c r="F21" s="96"/>
      <c r="G21" s="4" t="s">
        <v>935</v>
      </c>
      <c r="H21" s="4" t="s">
        <v>586</v>
      </c>
    </row>
    <row r="22" spans="1:8">
      <c r="A22">
        <v>21</v>
      </c>
      <c r="B22" t="s">
        <v>406</v>
      </c>
      <c r="C22" s="96" t="s">
        <v>936</v>
      </c>
      <c r="D22" s="96" t="s">
        <v>1719</v>
      </c>
      <c r="E22" s="98" t="s">
        <v>1735</v>
      </c>
      <c r="F22" s="96"/>
      <c r="G22" s="4" t="s">
        <v>919</v>
      </c>
      <c r="H22" s="4" t="s">
        <v>463</v>
      </c>
    </row>
    <row r="23" spans="1:8">
      <c r="A23">
        <v>22</v>
      </c>
      <c r="B23" t="s">
        <v>87</v>
      </c>
      <c r="C23" s="96" t="s">
        <v>918</v>
      </c>
      <c r="D23" s="96" t="s">
        <v>1719</v>
      </c>
      <c r="E23" s="98" t="s">
        <v>1736</v>
      </c>
      <c r="F23" s="96"/>
      <c r="G23" s="4" t="s">
        <v>917</v>
      </c>
      <c r="H23" s="4" t="s">
        <v>457</v>
      </c>
    </row>
    <row r="24" spans="1:8">
      <c r="A24">
        <v>23</v>
      </c>
      <c r="B24" t="s">
        <v>85</v>
      </c>
      <c r="C24" s="96" t="s">
        <v>917</v>
      </c>
      <c r="D24" s="96" t="s">
        <v>1719</v>
      </c>
      <c r="E24" s="98" t="s">
        <v>1737</v>
      </c>
      <c r="F24" s="96"/>
      <c r="G24" s="4" t="s">
        <v>129</v>
      </c>
      <c r="H24" s="4" t="s">
        <v>457</v>
      </c>
    </row>
    <row r="25" spans="1:8">
      <c r="A25">
        <v>24</v>
      </c>
      <c r="B25" t="s">
        <v>356</v>
      </c>
      <c r="C25" s="96" t="s">
        <v>929</v>
      </c>
      <c r="D25" s="96" t="s">
        <v>1719</v>
      </c>
      <c r="E25" s="98" t="s">
        <v>1738</v>
      </c>
      <c r="F25" s="96"/>
      <c r="G25" s="4" t="s">
        <v>916</v>
      </c>
      <c r="H25" s="4" t="s">
        <v>586</v>
      </c>
    </row>
    <row r="26" spans="1:8">
      <c r="A26">
        <v>25</v>
      </c>
      <c r="B26" t="s">
        <v>978</v>
      </c>
      <c r="C26" s="96" t="s">
        <v>977</v>
      </c>
      <c r="D26" s="96" t="s">
        <v>1720</v>
      </c>
      <c r="E26" s="98" t="s">
        <v>1739</v>
      </c>
      <c r="F26" s="96"/>
      <c r="G26" s="4" t="s">
        <v>929</v>
      </c>
      <c r="H26" s="4" t="s">
        <v>586</v>
      </c>
    </row>
    <row r="27" spans="1:8">
      <c r="A27">
        <v>26</v>
      </c>
      <c r="B27" t="s">
        <v>980</v>
      </c>
      <c r="C27" s="96" t="s">
        <v>979</v>
      </c>
      <c r="D27" s="96" t="s">
        <v>1720</v>
      </c>
      <c r="E27" s="98" t="s">
        <v>1740</v>
      </c>
      <c r="F27" s="96"/>
      <c r="G27" s="4" t="s">
        <v>936</v>
      </c>
      <c r="H27" s="4" t="s">
        <v>586</v>
      </c>
    </row>
    <row r="28" spans="1:8">
      <c r="G28" s="4" t="s">
        <v>144</v>
      </c>
      <c r="H28" s="4" t="s">
        <v>463</v>
      </c>
    </row>
    <row r="29" spans="1:8">
      <c r="E29"/>
      <c r="G29" s="4" t="s">
        <v>449</v>
      </c>
      <c r="H29" s="4" t="s">
        <v>101</v>
      </c>
    </row>
    <row r="30" spans="1:8">
      <c r="E30"/>
      <c r="G30" s="4" t="s">
        <v>1312</v>
      </c>
    </row>
    <row r="31" spans="1:8">
      <c r="E31"/>
    </row>
    <row r="32" spans="1:8">
      <c r="E32"/>
    </row>
    <row r="33" spans="5:5">
      <c r="E33"/>
    </row>
    <row r="34" spans="5:5">
      <c r="E34"/>
    </row>
    <row r="35" spans="5:5">
      <c r="E35"/>
    </row>
    <row r="36" spans="5:5">
      <c r="E36"/>
    </row>
    <row r="37" spans="5:5">
      <c r="E37"/>
    </row>
    <row r="38" spans="5:5">
      <c r="E38"/>
    </row>
    <row r="39" spans="5:5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>
      <c r="E49"/>
    </row>
    <row r="50" spans="5:5">
      <c r="E50"/>
    </row>
    <row r="51" spans="5:5">
      <c r="E51"/>
    </row>
    <row r="52" spans="5:5">
      <c r="E52"/>
    </row>
    <row r="53" spans="5:5">
      <c r="E53"/>
    </row>
    <row r="54" spans="5:5">
      <c r="E54"/>
    </row>
    <row r="55" spans="5:5">
      <c r="E55"/>
    </row>
  </sheetData>
  <autoFilter ref="A1:B25" xr:uid="{C87B6859-2EF2-4762-9F54-D141056A4662}"/>
  <sortState xmlns:xlrd2="http://schemas.microsoft.com/office/spreadsheetml/2017/richdata2" ref="A2:A25">
    <sortCondition ref="A1:A25"/>
  </sortState>
  <phoneticPr fontId="3" type="noConversion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46E86-3232-4F52-B5A8-55C302FF8EE1}">
  <dimension ref="A1:AA987"/>
  <sheetViews>
    <sheetView showGridLines="0" topLeftCell="A12" zoomScale="70" zoomScaleNormal="70" workbookViewId="0">
      <selection activeCell="C34" sqref="C34"/>
    </sheetView>
  </sheetViews>
  <sheetFormatPr defaultColWidth="17.08984375" defaultRowHeight="14.5"/>
  <cols>
    <col min="1" max="3" width="17.08984375" style="28"/>
    <col min="4" max="4" width="38.7265625" style="28" customWidth="1"/>
    <col min="5" max="5" width="40.7265625" style="28" customWidth="1"/>
    <col min="6" max="16384" width="17.08984375" style="28"/>
  </cols>
  <sheetData>
    <row r="1" spans="1:27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</row>
    <row r="2" spans="1:27" ht="20">
      <c r="A2" s="29" t="s">
        <v>1080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ht="20">
      <c r="A3" s="27"/>
      <c r="B3" s="30" t="s">
        <v>1081</v>
      </c>
      <c r="C3" s="30" t="s">
        <v>1082</v>
      </c>
      <c r="D3" s="30" t="s">
        <v>1083</v>
      </c>
      <c r="E3" s="30" t="s">
        <v>1084</v>
      </c>
      <c r="F3" s="30" t="s">
        <v>1085</v>
      </c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</row>
    <row r="4" spans="1:27" ht="20">
      <c r="A4" s="31" t="s">
        <v>1086</v>
      </c>
      <c r="B4" s="32" t="s">
        <v>1087</v>
      </c>
      <c r="C4" s="32" t="s">
        <v>1088</v>
      </c>
      <c r="D4" s="32" t="s">
        <v>1089</v>
      </c>
      <c r="E4" s="32" t="s">
        <v>1090</v>
      </c>
      <c r="F4" s="33" t="s">
        <v>1091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</row>
    <row r="5" spans="1:27" ht="20">
      <c r="A5" s="31" t="s">
        <v>1092</v>
      </c>
      <c r="B5" s="32" t="s">
        <v>1093</v>
      </c>
      <c r="C5" s="27"/>
      <c r="D5" s="32" t="s">
        <v>1094</v>
      </c>
      <c r="E5" s="32" t="s">
        <v>1095</v>
      </c>
      <c r="F5" s="33" t="s">
        <v>1096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 spans="1:27" ht="20">
      <c r="A7" s="29" t="s">
        <v>1097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</row>
    <row r="8" spans="1:27" ht="20">
      <c r="A8" s="34"/>
      <c r="B8" s="30" t="s">
        <v>1081</v>
      </c>
      <c r="C8" s="35"/>
      <c r="D8" s="30" t="s">
        <v>1083</v>
      </c>
      <c r="E8" s="30" t="s">
        <v>1098</v>
      </c>
      <c r="F8" s="30" t="s">
        <v>1085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20">
      <c r="A9" s="31" t="s">
        <v>1086</v>
      </c>
      <c r="B9" s="32" t="s">
        <v>1099</v>
      </c>
      <c r="C9" s="32" t="s">
        <v>1002</v>
      </c>
      <c r="D9" s="32" t="s">
        <v>1100</v>
      </c>
      <c r="E9" s="32" t="s">
        <v>1101</v>
      </c>
      <c r="F9" s="33" t="s">
        <v>1102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 ht="20">
      <c r="A10" s="31" t="s">
        <v>1092</v>
      </c>
      <c r="B10" s="32" t="s">
        <v>1103</v>
      </c>
      <c r="C10" s="27"/>
      <c r="D10" s="32" t="s">
        <v>1104</v>
      </c>
      <c r="E10" s="32" t="s">
        <v>1105</v>
      </c>
      <c r="F10" s="33" t="s">
        <v>1106</v>
      </c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27" ht="20">
      <c r="A11" s="31" t="s">
        <v>1086</v>
      </c>
      <c r="B11" s="32" t="s">
        <v>1107</v>
      </c>
      <c r="C11" s="32" t="s">
        <v>254</v>
      </c>
      <c r="D11" s="32" t="s">
        <v>1108</v>
      </c>
      <c r="E11" s="32" t="s">
        <v>1109</v>
      </c>
      <c r="F11" s="33" t="s">
        <v>1110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27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 spans="1:27" ht="20">
      <c r="A13" s="29" t="s">
        <v>1111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</row>
    <row r="14" spans="1:27" ht="20">
      <c r="A14" s="27"/>
      <c r="B14" s="30" t="s">
        <v>1081</v>
      </c>
      <c r="C14" s="35"/>
      <c r="D14" s="30" t="s">
        <v>1083</v>
      </c>
      <c r="E14" s="30" t="s">
        <v>1098</v>
      </c>
      <c r="F14" s="30" t="s">
        <v>1085</v>
      </c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27" ht="20">
      <c r="A15" s="31" t="s">
        <v>1092</v>
      </c>
      <c r="B15" s="32" t="s">
        <v>1112</v>
      </c>
      <c r="C15" s="27"/>
      <c r="D15" s="32" t="s">
        <v>1113</v>
      </c>
      <c r="E15" s="32" t="s">
        <v>1114</v>
      </c>
      <c r="F15" s="33" t="s">
        <v>1115</v>
      </c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27" ht="20">
      <c r="A16" s="31" t="s">
        <v>1092</v>
      </c>
      <c r="B16" s="32" t="s">
        <v>1116</v>
      </c>
      <c r="C16" s="27"/>
      <c r="D16" s="32" t="s">
        <v>1117</v>
      </c>
      <c r="E16" s="32" t="s">
        <v>1118</v>
      </c>
      <c r="F16" s="33" t="s">
        <v>1119</v>
      </c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 spans="1:27" ht="20">
      <c r="A17" s="27"/>
      <c r="B17" s="32" t="s">
        <v>1120</v>
      </c>
      <c r="C17" s="27"/>
      <c r="D17" s="32" t="s">
        <v>1121</v>
      </c>
      <c r="E17" s="32" t="s">
        <v>1122</v>
      </c>
      <c r="F17" s="33" t="s">
        <v>1123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 spans="1:27" ht="20">
      <c r="A18" s="27"/>
      <c r="B18" s="32" t="s">
        <v>1124</v>
      </c>
      <c r="C18" s="27"/>
      <c r="D18" s="32" t="s">
        <v>1125</v>
      </c>
      <c r="E18" s="32" t="s">
        <v>1126</v>
      </c>
      <c r="F18" s="33" t="s">
        <v>1127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 spans="1:27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</row>
    <row r="20" spans="1:27" ht="20">
      <c r="A20" s="29" t="s">
        <v>1128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</row>
    <row r="21" spans="1:27" ht="20">
      <c r="A21" s="27"/>
      <c r="B21" s="30" t="s">
        <v>1081</v>
      </c>
      <c r="C21" s="35"/>
      <c r="D21" s="30" t="s">
        <v>1083</v>
      </c>
      <c r="E21" s="30" t="s">
        <v>1098</v>
      </c>
      <c r="F21" s="30" t="s">
        <v>1085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</row>
    <row r="22" spans="1:27" ht="20">
      <c r="A22" s="27"/>
      <c r="B22" s="32" t="s">
        <v>1129</v>
      </c>
      <c r="C22" s="27"/>
      <c r="D22" s="32" t="s">
        <v>1130</v>
      </c>
      <c r="E22" s="32" t="s">
        <v>1131</v>
      </c>
      <c r="F22" s="33" t="s">
        <v>1132</v>
      </c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1:27" ht="20">
      <c r="A23" s="31" t="s">
        <v>1092</v>
      </c>
      <c r="B23" s="32" t="s">
        <v>1133</v>
      </c>
      <c r="C23" s="27"/>
      <c r="D23" s="32" t="s">
        <v>1134</v>
      </c>
      <c r="E23" s="32" t="s">
        <v>1135</v>
      </c>
      <c r="F23" s="33" t="s">
        <v>1136</v>
      </c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1:27" ht="20">
      <c r="A24" s="27"/>
      <c r="B24" s="32" t="s">
        <v>1137</v>
      </c>
      <c r="C24" s="27"/>
      <c r="D24" s="32" t="s">
        <v>1138</v>
      </c>
      <c r="E24" s="32" t="s">
        <v>1139</v>
      </c>
      <c r="F24" s="33" t="s">
        <v>1140</v>
      </c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1:27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1:27" ht="17.5">
      <c r="A26" s="36" t="s">
        <v>1141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2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27" ht="17.5">
      <c r="A28" s="36" t="s">
        <v>1142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27" ht="17.5">
      <c r="A29" s="37" t="s">
        <v>1143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1:27" ht="17.5">
      <c r="A30" s="36" t="s">
        <v>1144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1:27" ht="17.5">
      <c r="A31" s="37" t="s">
        <v>1145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27" ht="17.5">
      <c r="A32" s="36" t="s">
        <v>1146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1:27" ht="17.5">
      <c r="A33" s="37" t="s">
        <v>1147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1:27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1:27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1:27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1:2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1:27">
      <c r="A38" s="34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1:27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1:27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</row>
    <row r="41" spans="1:27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</row>
    <row r="42" spans="1:27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spans="1:27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</row>
    <row r="44" spans="1:27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</row>
    <row r="45" spans="1:27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</row>
    <row r="46" spans="1:27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</row>
    <row r="47" spans="1:2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</row>
    <row r="48" spans="1:27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</row>
    <row r="49" spans="1:27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</row>
    <row r="50" spans="1:27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</row>
    <row r="51" spans="1:27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</row>
    <row r="52" spans="1:27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</row>
    <row r="53" spans="1:27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</row>
    <row r="54" spans="1:27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</row>
    <row r="55" spans="1:27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</row>
    <row r="56" spans="1:27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</row>
    <row r="57" spans="1:2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</row>
    <row r="58" spans="1:27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</row>
    <row r="59" spans="1:27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</row>
    <row r="60" spans="1:27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spans="1:27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</row>
    <row r="62" spans="1:27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</row>
    <row r="63" spans="1:27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</row>
    <row r="64" spans="1:27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</row>
    <row r="65" spans="1:27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</row>
    <row r="66" spans="1:27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</row>
    <row r="67" spans="1:2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</row>
    <row r="68" spans="1:27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</row>
    <row r="69" spans="1:27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</row>
    <row r="70" spans="1:27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</row>
    <row r="71" spans="1:27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</row>
    <row r="72" spans="1:27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</row>
    <row r="73" spans="1:27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</row>
    <row r="74" spans="1:27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</row>
    <row r="75" spans="1:27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</row>
    <row r="76" spans="1:27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</row>
    <row r="77" spans="1:2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</row>
    <row r="78" spans="1:27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</row>
    <row r="79" spans="1:27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</row>
    <row r="80" spans="1:27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</row>
    <row r="81" spans="1:27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</row>
    <row r="82" spans="1:27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</row>
    <row r="83" spans="1:27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</row>
    <row r="84" spans="1:27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</row>
    <row r="86" spans="1:27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</row>
    <row r="87" spans="1:2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</row>
    <row r="88" spans="1:27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</row>
    <row r="89" spans="1:27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</row>
    <row r="90" spans="1:27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</row>
    <row r="91" spans="1:27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</row>
    <row r="92" spans="1:27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</row>
    <row r="93" spans="1:27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</row>
    <row r="94" spans="1:27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</row>
    <row r="95" spans="1:27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</row>
    <row r="96" spans="1:27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</row>
    <row r="97" spans="1:2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</row>
    <row r="98" spans="1:27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</row>
    <row r="99" spans="1:27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</row>
    <row r="100" spans="1:27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</row>
    <row r="101" spans="1:27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</row>
    <row r="102" spans="1:27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</row>
    <row r="103" spans="1:27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</row>
    <row r="104" spans="1:27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</row>
    <row r="105" spans="1:27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</row>
    <row r="106" spans="1:27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</row>
    <row r="107" spans="1:2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</row>
    <row r="108" spans="1:27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</row>
    <row r="109" spans="1:27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</row>
    <row r="110" spans="1:27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</row>
    <row r="111" spans="1:27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</row>
    <row r="112" spans="1:27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</row>
    <row r="113" spans="1:27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</row>
    <row r="114" spans="1:27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</row>
    <row r="115" spans="1:27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</row>
    <row r="116" spans="1:27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</row>
    <row r="117" spans="1:2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</row>
    <row r="118" spans="1:27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</row>
    <row r="119" spans="1:27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</row>
    <row r="120" spans="1:27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</row>
    <row r="121" spans="1:27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</row>
    <row r="122" spans="1:27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</row>
    <row r="123" spans="1:27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</row>
    <row r="124" spans="1:27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</row>
    <row r="125" spans="1:27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</row>
    <row r="126" spans="1:27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</row>
    <row r="127" spans="1: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</row>
    <row r="128" spans="1:27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</row>
    <row r="129" spans="1:27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spans="1:27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</row>
    <row r="131" spans="1:27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</row>
    <row r="132" spans="1:27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</row>
    <row r="133" spans="1:27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</row>
    <row r="134" spans="1:27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</row>
    <row r="135" spans="1:27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</row>
    <row r="136" spans="1:27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</row>
    <row r="137" spans="1:2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</row>
    <row r="138" spans="1:27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</row>
    <row r="139" spans="1:27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</row>
    <row r="140" spans="1:27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</row>
    <row r="141" spans="1:27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</row>
    <row r="142" spans="1:27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</row>
    <row r="143" spans="1:27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</row>
    <row r="144" spans="1:27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</row>
    <row r="145" spans="1:27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</row>
    <row r="146" spans="1:27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</row>
    <row r="147" spans="1:2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</row>
    <row r="148" spans="1:27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</row>
    <row r="149" spans="1:27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</row>
    <row r="150" spans="1:27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</row>
    <row r="151" spans="1:27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</row>
    <row r="152" spans="1:27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</row>
    <row r="153" spans="1:27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</row>
    <row r="154" spans="1:27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</row>
    <row r="155" spans="1:27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</row>
    <row r="156" spans="1:27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</row>
    <row r="157" spans="1:2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</row>
    <row r="158" spans="1:27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</row>
    <row r="159" spans="1:27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</row>
    <row r="160" spans="1:27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</row>
    <row r="161" spans="1:27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</row>
    <row r="162" spans="1:27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spans="1:27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</row>
    <row r="164" spans="1:27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</row>
    <row r="165" spans="1:27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</row>
    <row r="166" spans="1:27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</row>
    <row r="167" spans="1:2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</row>
    <row r="168" spans="1:27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</row>
    <row r="169" spans="1:27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</row>
    <row r="170" spans="1:27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</row>
    <row r="171" spans="1:27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</row>
    <row r="172" spans="1:27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</row>
    <row r="173" spans="1:27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</row>
    <row r="174" spans="1:27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</row>
    <row r="175" spans="1:27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</row>
    <row r="176" spans="1:27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</row>
    <row r="177" spans="1:2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</row>
    <row r="178" spans="1:27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</row>
    <row r="179" spans="1:27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</row>
    <row r="180" spans="1:27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</row>
    <row r="181" spans="1:27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</row>
    <row r="182" spans="1:27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</row>
    <row r="183" spans="1:27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</row>
    <row r="184" spans="1:27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</row>
    <row r="185" spans="1:27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</row>
    <row r="186" spans="1:27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</row>
    <row r="187" spans="1:2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</row>
    <row r="188" spans="1:27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</row>
    <row r="189" spans="1:27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</row>
    <row r="190" spans="1:27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</row>
    <row r="191" spans="1:27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</row>
    <row r="192" spans="1:27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</row>
    <row r="193" spans="1:27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</row>
    <row r="194" spans="1:27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</row>
    <row r="195" spans="1:27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</row>
    <row r="196" spans="1:27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</row>
    <row r="197" spans="1:2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</row>
    <row r="198" spans="1:27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</row>
    <row r="199" spans="1:27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</row>
    <row r="200" spans="1:27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</row>
    <row r="201" spans="1:27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</row>
    <row r="202" spans="1:27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</row>
    <row r="203" spans="1:27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</row>
    <row r="204" spans="1:27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</row>
    <row r="205" spans="1:27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</row>
    <row r="206" spans="1:27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</row>
    <row r="207" spans="1:2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</row>
    <row r="208" spans="1:27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</row>
    <row r="209" spans="1:27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</row>
    <row r="210" spans="1:27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</row>
    <row r="211" spans="1:27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</row>
    <row r="212" spans="1:27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</row>
    <row r="213" spans="1:27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</row>
    <row r="214" spans="1:27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</row>
    <row r="215" spans="1:27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</row>
    <row r="216" spans="1:27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</row>
    <row r="217" spans="1:2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</row>
    <row r="218" spans="1:27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</row>
    <row r="219" spans="1:27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</row>
    <row r="220" spans="1:27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</row>
    <row r="221" spans="1:27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</row>
    <row r="222" spans="1:27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</row>
    <row r="223" spans="1:27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</row>
    <row r="224" spans="1:27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</row>
    <row r="225" spans="1:27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</row>
    <row r="226" spans="1:27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</row>
    <row r="227" spans="1: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</row>
    <row r="228" spans="1:27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</row>
    <row r="229" spans="1:27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</row>
    <row r="230" spans="1:27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</row>
    <row r="231" spans="1:27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</row>
    <row r="232" spans="1:27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</row>
    <row r="233" spans="1:27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</row>
    <row r="234" spans="1:27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</row>
    <row r="235" spans="1:27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</row>
    <row r="236" spans="1:27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</row>
    <row r="237" spans="1:2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</row>
    <row r="238" spans="1:27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</row>
    <row r="239" spans="1:27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</row>
    <row r="240" spans="1:27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</row>
    <row r="241" spans="1:27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</row>
    <row r="242" spans="1:27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</row>
    <row r="243" spans="1:27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</row>
    <row r="244" spans="1:27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</row>
    <row r="245" spans="1:27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</row>
    <row r="246" spans="1:27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</row>
    <row r="247" spans="1:2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</row>
    <row r="248" spans="1:27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</row>
    <row r="249" spans="1:27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</row>
    <row r="250" spans="1:27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</row>
    <row r="251" spans="1:27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</row>
    <row r="252" spans="1:27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</row>
    <row r="253" spans="1:27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</row>
    <row r="254" spans="1:27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</row>
    <row r="255" spans="1:27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</row>
    <row r="256" spans="1:27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</row>
    <row r="257" spans="1:2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</row>
    <row r="258" spans="1:27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</row>
    <row r="259" spans="1:27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</row>
    <row r="260" spans="1:27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</row>
    <row r="261" spans="1:27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</row>
    <row r="262" spans="1:27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</row>
    <row r="263" spans="1:27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</row>
    <row r="264" spans="1:27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</row>
    <row r="265" spans="1:27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</row>
    <row r="266" spans="1:27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</row>
    <row r="267" spans="1:2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</row>
    <row r="268" spans="1:27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</row>
    <row r="269" spans="1:27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</row>
    <row r="270" spans="1:27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</row>
    <row r="271" spans="1:27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</row>
    <row r="272" spans="1:27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</row>
    <row r="273" spans="1:27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</row>
    <row r="274" spans="1:27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</row>
    <row r="275" spans="1:27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</row>
    <row r="276" spans="1:27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</row>
    <row r="277" spans="1:2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</row>
    <row r="278" spans="1:27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</row>
    <row r="279" spans="1:27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</row>
    <row r="280" spans="1:27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</row>
    <row r="281" spans="1:27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</row>
    <row r="282" spans="1:27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</row>
    <row r="283" spans="1:27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</row>
    <row r="284" spans="1:27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</row>
    <row r="285" spans="1:27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</row>
    <row r="286" spans="1:27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</row>
    <row r="287" spans="1:2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</row>
    <row r="288" spans="1:27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</row>
    <row r="289" spans="1:27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</row>
    <row r="290" spans="1:27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</row>
    <row r="291" spans="1:27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</row>
    <row r="292" spans="1:27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</row>
    <row r="293" spans="1:27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</row>
    <row r="294" spans="1:27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</row>
    <row r="295" spans="1:27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</row>
    <row r="296" spans="1:27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</row>
    <row r="297" spans="1:2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</row>
    <row r="298" spans="1:27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</row>
    <row r="299" spans="1:27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</row>
    <row r="300" spans="1:27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</row>
    <row r="301" spans="1:27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</row>
    <row r="302" spans="1:27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</row>
    <row r="303" spans="1:27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</row>
    <row r="304" spans="1:27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</row>
    <row r="305" spans="1:27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</row>
    <row r="306" spans="1:27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</row>
    <row r="307" spans="1:2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</row>
    <row r="308" spans="1:27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</row>
    <row r="309" spans="1:27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</row>
    <row r="310" spans="1:27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</row>
    <row r="311" spans="1:27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</row>
    <row r="312" spans="1:27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</row>
    <row r="313" spans="1:27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</row>
    <row r="314" spans="1:27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</row>
    <row r="315" spans="1:27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</row>
    <row r="316" spans="1:27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</row>
    <row r="317" spans="1:2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</row>
    <row r="318" spans="1:27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</row>
    <row r="319" spans="1:27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</row>
    <row r="320" spans="1:27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</row>
    <row r="321" spans="1:27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</row>
    <row r="322" spans="1:27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</row>
    <row r="323" spans="1:27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</row>
    <row r="324" spans="1:27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</row>
    <row r="325" spans="1:27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</row>
    <row r="326" spans="1:27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</row>
    <row r="327" spans="1: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</row>
    <row r="328" spans="1:27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</row>
    <row r="329" spans="1:27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</row>
    <row r="330" spans="1:27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</row>
    <row r="331" spans="1:27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</row>
    <row r="332" spans="1:27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</row>
    <row r="333" spans="1:27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</row>
    <row r="334" spans="1:27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</row>
    <row r="335" spans="1:27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</row>
    <row r="336" spans="1:27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</row>
    <row r="337" spans="1:2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</row>
    <row r="338" spans="1:27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</row>
    <row r="339" spans="1:27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</row>
    <row r="340" spans="1:27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</row>
    <row r="341" spans="1:27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</row>
    <row r="342" spans="1:27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</row>
    <row r="343" spans="1:27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</row>
    <row r="344" spans="1:27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</row>
    <row r="345" spans="1:27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</row>
    <row r="346" spans="1:27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</row>
    <row r="347" spans="1:2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</row>
    <row r="348" spans="1:27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</row>
    <row r="349" spans="1:27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</row>
    <row r="350" spans="1:27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</row>
    <row r="351" spans="1:27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</row>
    <row r="352" spans="1:27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</row>
    <row r="353" spans="1:27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</row>
    <row r="354" spans="1:27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</row>
    <row r="355" spans="1:27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</row>
    <row r="356" spans="1:27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</row>
    <row r="357" spans="1:2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</row>
    <row r="358" spans="1:27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</row>
    <row r="359" spans="1:27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</row>
    <row r="360" spans="1:27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</row>
    <row r="361" spans="1:27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</row>
    <row r="362" spans="1:27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</row>
    <row r="363" spans="1:27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</row>
    <row r="364" spans="1:27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</row>
    <row r="365" spans="1:27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</row>
    <row r="366" spans="1:27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</row>
    <row r="367" spans="1:2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</row>
    <row r="368" spans="1:27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</row>
    <row r="369" spans="1:27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</row>
    <row r="370" spans="1:27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</row>
    <row r="371" spans="1:27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</row>
    <row r="372" spans="1:27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</row>
    <row r="373" spans="1:27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</row>
    <row r="374" spans="1:27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</row>
    <row r="375" spans="1:27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</row>
    <row r="376" spans="1:27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</row>
    <row r="377" spans="1:2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</row>
    <row r="378" spans="1:27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</row>
    <row r="379" spans="1:27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</row>
    <row r="380" spans="1:27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</row>
    <row r="381" spans="1:27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</row>
    <row r="382" spans="1:27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</row>
    <row r="383" spans="1:27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</row>
    <row r="384" spans="1:27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</row>
    <row r="385" spans="1:27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</row>
    <row r="386" spans="1:27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</row>
    <row r="387" spans="1:2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</row>
    <row r="388" spans="1:27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</row>
    <row r="389" spans="1:27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</row>
    <row r="390" spans="1:27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</row>
    <row r="391" spans="1:27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</row>
    <row r="392" spans="1:27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</row>
    <row r="393" spans="1:27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</row>
    <row r="394" spans="1:27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</row>
    <row r="395" spans="1:27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</row>
    <row r="396" spans="1:27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</row>
    <row r="397" spans="1:2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</row>
    <row r="398" spans="1:27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</row>
    <row r="399" spans="1:27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</row>
    <row r="400" spans="1:27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</row>
    <row r="401" spans="1:27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</row>
    <row r="402" spans="1:27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</row>
    <row r="403" spans="1:27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</row>
    <row r="404" spans="1:27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</row>
    <row r="405" spans="1:27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</row>
    <row r="406" spans="1:27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</row>
    <row r="407" spans="1:2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</row>
    <row r="408" spans="1:27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</row>
    <row r="409" spans="1:27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</row>
    <row r="410" spans="1:27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</row>
    <row r="411" spans="1:27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</row>
    <row r="412" spans="1:27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</row>
    <row r="413" spans="1:27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</row>
    <row r="414" spans="1:27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</row>
    <row r="415" spans="1:27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</row>
    <row r="416" spans="1:27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</row>
    <row r="417" spans="1:2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</row>
    <row r="418" spans="1:27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</row>
    <row r="419" spans="1:27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</row>
    <row r="420" spans="1:27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</row>
    <row r="421" spans="1:27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</row>
    <row r="422" spans="1:27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</row>
    <row r="423" spans="1:27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</row>
    <row r="424" spans="1:27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</row>
    <row r="425" spans="1:27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</row>
    <row r="426" spans="1:27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</row>
    <row r="427" spans="1: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</row>
    <row r="428" spans="1:27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</row>
    <row r="429" spans="1:27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</row>
    <row r="430" spans="1:27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</row>
    <row r="431" spans="1:27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</row>
    <row r="432" spans="1:27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</row>
    <row r="433" spans="1:27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</row>
    <row r="434" spans="1:27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</row>
    <row r="435" spans="1:27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</row>
    <row r="436" spans="1:27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</row>
    <row r="437" spans="1:2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</row>
    <row r="438" spans="1:27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</row>
    <row r="439" spans="1:27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</row>
    <row r="440" spans="1:27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</row>
    <row r="441" spans="1:27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</row>
    <row r="442" spans="1:27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</row>
    <row r="443" spans="1:27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</row>
    <row r="444" spans="1:27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</row>
    <row r="445" spans="1:27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</row>
    <row r="446" spans="1:27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</row>
    <row r="447" spans="1:2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</row>
    <row r="448" spans="1:27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</row>
    <row r="449" spans="1:27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</row>
    <row r="450" spans="1:27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</row>
    <row r="451" spans="1:27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</row>
    <row r="452" spans="1:27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</row>
    <row r="453" spans="1:27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</row>
    <row r="454" spans="1:27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</row>
    <row r="455" spans="1:27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</row>
    <row r="456" spans="1:27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</row>
    <row r="457" spans="1:2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</row>
    <row r="458" spans="1:27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</row>
    <row r="459" spans="1:27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</row>
    <row r="460" spans="1:27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</row>
    <row r="461" spans="1:27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</row>
    <row r="462" spans="1:27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</row>
    <row r="463" spans="1:27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</row>
    <row r="464" spans="1:27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</row>
    <row r="465" spans="1:27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</row>
    <row r="466" spans="1:27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</row>
    <row r="467" spans="1:2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</row>
    <row r="468" spans="1:27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</row>
    <row r="469" spans="1:27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</row>
    <row r="470" spans="1:27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</row>
    <row r="471" spans="1:27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</row>
    <row r="472" spans="1:27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</row>
    <row r="473" spans="1:27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</row>
    <row r="474" spans="1:27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</row>
    <row r="475" spans="1:27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</row>
    <row r="476" spans="1:27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</row>
    <row r="477" spans="1:2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</row>
    <row r="478" spans="1:27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</row>
    <row r="479" spans="1:27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</row>
    <row r="480" spans="1:27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</row>
    <row r="481" spans="1:27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</row>
    <row r="482" spans="1:27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</row>
    <row r="483" spans="1:27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</row>
    <row r="484" spans="1:27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</row>
    <row r="485" spans="1:27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</row>
    <row r="486" spans="1:27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</row>
    <row r="487" spans="1:2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</row>
    <row r="488" spans="1:27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</row>
    <row r="489" spans="1:27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</row>
    <row r="490" spans="1:27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</row>
    <row r="491" spans="1:27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</row>
    <row r="492" spans="1:27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</row>
    <row r="493" spans="1:27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</row>
    <row r="494" spans="1:27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</row>
    <row r="495" spans="1:27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</row>
    <row r="496" spans="1:27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</row>
    <row r="497" spans="1:2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</row>
    <row r="498" spans="1:27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</row>
    <row r="499" spans="1:27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</row>
    <row r="500" spans="1:27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</row>
    <row r="501" spans="1:27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</row>
    <row r="502" spans="1:27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</row>
    <row r="503" spans="1:27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</row>
    <row r="504" spans="1:27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</row>
    <row r="505" spans="1:27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</row>
    <row r="506" spans="1:27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</row>
    <row r="507" spans="1:2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</row>
    <row r="508" spans="1:27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</row>
    <row r="509" spans="1:27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</row>
    <row r="510" spans="1:27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</row>
    <row r="511" spans="1:27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</row>
    <row r="512" spans="1:27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</row>
    <row r="513" spans="1:27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</row>
    <row r="514" spans="1:27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</row>
    <row r="515" spans="1:27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</row>
    <row r="516" spans="1:27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</row>
    <row r="517" spans="1:2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</row>
    <row r="518" spans="1:27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</row>
    <row r="519" spans="1:27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</row>
    <row r="520" spans="1:27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</row>
    <row r="521" spans="1:27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</row>
    <row r="522" spans="1:27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</row>
    <row r="523" spans="1:27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</row>
    <row r="524" spans="1:27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</row>
    <row r="525" spans="1:27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</row>
    <row r="526" spans="1:27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</row>
    <row r="527" spans="1: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</row>
    <row r="528" spans="1:27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</row>
    <row r="529" spans="1:27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</row>
    <row r="530" spans="1:27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</row>
    <row r="531" spans="1:27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</row>
    <row r="532" spans="1:27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</row>
    <row r="533" spans="1:27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</row>
    <row r="534" spans="1:27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</row>
    <row r="535" spans="1:27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</row>
    <row r="536" spans="1:27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</row>
    <row r="537" spans="1:2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</row>
    <row r="538" spans="1:27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</row>
    <row r="539" spans="1:27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</row>
    <row r="540" spans="1:27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</row>
    <row r="541" spans="1:27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</row>
    <row r="542" spans="1:27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</row>
    <row r="543" spans="1:27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</row>
    <row r="544" spans="1:27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</row>
    <row r="545" spans="1:27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</row>
    <row r="546" spans="1:27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</row>
    <row r="547" spans="1:2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</row>
    <row r="548" spans="1:27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</row>
    <row r="549" spans="1:27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</row>
    <row r="550" spans="1:27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</row>
    <row r="551" spans="1:27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</row>
    <row r="552" spans="1:27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</row>
    <row r="553" spans="1:27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</row>
    <row r="554" spans="1:27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</row>
    <row r="555" spans="1:27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</row>
    <row r="556" spans="1:27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</row>
    <row r="557" spans="1:2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</row>
    <row r="558" spans="1:27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</row>
    <row r="559" spans="1:27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</row>
    <row r="560" spans="1:27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</row>
    <row r="561" spans="1:27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</row>
    <row r="562" spans="1:27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</row>
    <row r="563" spans="1:27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</row>
    <row r="564" spans="1:27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</row>
    <row r="565" spans="1:27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</row>
    <row r="566" spans="1:27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</row>
    <row r="567" spans="1:2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</row>
    <row r="568" spans="1:27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</row>
    <row r="569" spans="1:27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</row>
    <row r="570" spans="1:27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</row>
    <row r="571" spans="1:27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</row>
    <row r="572" spans="1:27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</row>
    <row r="573" spans="1:27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</row>
    <row r="574" spans="1:27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</row>
    <row r="575" spans="1:27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</row>
    <row r="576" spans="1:27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</row>
    <row r="577" spans="1:2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</row>
    <row r="578" spans="1:27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</row>
    <row r="579" spans="1:27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</row>
    <row r="580" spans="1:27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</row>
    <row r="581" spans="1:27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</row>
    <row r="582" spans="1:27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</row>
    <row r="583" spans="1:27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</row>
    <row r="584" spans="1:27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</row>
    <row r="585" spans="1:27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</row>
    <row r="586" spans="1:27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</row>
    <row r="587" spans="1:2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</row>
    <row r="588" spans="1:27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</row>
    <row r="589" spans="1:27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</row>
    <row r="590" spans="1:27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</row>
    <row r="591" spans="1:27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</row>
    <row r="592" spans="1:27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</row>
    <row r="593" spans="1:27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</row>
    <row r="594" spans="1:27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</row>
    <row r="595" spans="1:27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</row>
    <row r="596" spans="1:27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</row>
    <row r="597" spans="1:2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</row>
    <row r="598" spans="1:27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</row>
    <row r="599" spans="1:27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</row>
    <row r="600" spans="1:27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</row>
    <row r="601" spans="1:27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</row>
    <row r="602" spans="1:27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</row>
    <row r="603" spans="1:27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</row>
    <row r="604" spans="1:27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</row>
    <row r="605" spans="1:27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</row>
    <row r="606" spans="1:27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</row>
    <row r="607" spans="1:2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</row>
    <row r="608" spans="1:27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</row>
    <row r="609" spans="1:27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</row>
    <row r="610" spans="1:27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</row>
    <row r="611" spans="1:27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</row>
    <row r="612" spans="1:27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</row>
    <row r="613" spans="1:27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</row>
    <row r="614" spans="1:27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</row>
    <row r="615" spans="1:27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</row>
    <row r="616" spans="1:27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</row>
    <row r="617" spans="1:2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</row>
    <row r="618" spans="1:27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</row>
    <row r="619" spans="1:27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</row>
    <row r="620" spans="1:27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</row>
    <row r="621" spans="1:27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</row>
    <row r="622" spans="1:27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</row>
    <row r="623" spans="1:27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</row>
    <row r="624" spans="1:27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</row>
    <row r="625" spans="1:27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</row>
    <row r="626" spans="1:27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</row>
    <row r="627" spans="1: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</row>
    <row r="628" spans="1:27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</row>
    <row r="629" spans="1:27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</row>
    <row r="630" spans="1:27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</row>
    <row r="631" spans="1:27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</row>
    <row r="632" spans="1:27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</row>
    <row r="633" spans="1:27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</row>
    <row r="634" spans="1:27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</row>
    <row r="635" spans="1:27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</row>
    <row r="636" spans="1:27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</row>
    <row r="637" spans="1:2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</row>
    <row r="638" spans="1:27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</row>
    <row r="639" spans="1:27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</row>
    <row r="640" spans="1:27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</row>
    <row r="641" spans="1:27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</row>
    <row r="642" spans="1:27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</row>
    <row r="643" spans="1:27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</row>
    <row r="644" spans="1:27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</row>
    <row r="645" spans="1:27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</row>
    <row r="646" spans="1:27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</row>
    <row r="647" spans="1:2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</row>
    <row r="648" spans="1:27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</row>
    <row r="649" spans="1:27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</row>
    <row r="650" spans="1:27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</row>
    <row r="651" spans="1:27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</row>
    <row r="652" spans="1:27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</row>
    <row r="653" spans="1:27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</row>
    <row r="654" spans="1:27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</row>
    <row r="655" spans="1:27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</row>
    <row r="656" spans="1:27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</row>
    <row r="657" spans="1:2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</row>
    <row r="658" spans="1:27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</row>
    <row r="659" spans="1:27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</row>
    <row r="660" spans="1:27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</row>
    <row r="661" spans="1:27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</row>
    <row r="662" spans="1:27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</row>
    <row r="663" spans="1:27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</row>
    <row r="664" spans="1:27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</row>
    <row r="665" spans="1:27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</row>
    <row r="666" spans="1:27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</row>
    <row r="667" spans="1:2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</row>
    <row r="668" spans="1:27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</row>
    <row r="669" spans="1:27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</row>
    <row r="670" spans="1:27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</row>
    <row r="671" spans="1:27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</row>
    <row r="672" spans="1:27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</row>
    <row r="673" spans="1:27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</row>
    <row r="674" spans="1:27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</row>
    <row r="675" spans="1:27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</row>
    <row r="676" spans="1:27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</row>
    <row r="677" spans="1:2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</row>
    <row r="678" spans="1:27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</row>
    <row r="679" spans="1:27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</row>
    <row r="680" spans="1:27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</row>
    <row r="681" spans="1:27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</row>
    <row r="682" spans="1:27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</row>
    <row r="683" spans="1:27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</row>
    <row r="684" spans="1:27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</row>
    <row r="685" spans="1:27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</row>
    <row r="686" spans="1:27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</row>
    <row r="687" spans="1:2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</row>
    <row r="688" spans="1:27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</row>
    <row r="689" spans="1:27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</row>
    <row r="690" spans="1:27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</row>
    <row r="691" spans="1:27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</row>
    <row r="692" spans="1:27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</row>
    <row r="693" spans="1:27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</row>
    <row r="694" spans="1:27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</row>
    <row r="695" spans="1:27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</row>
    <row r="696" spans="1:27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</row>
    <row r="697" spans="1:2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</row>
    <row r="698" spans="1:27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</row>
    <row r="699" spans="1:27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</row>
    <row r="700" spans="1:27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</row>
    <row r="701" spans="1:27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</row>
    <row r="702" spans="1:27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</row>
    <row r="703" spans="1:27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</row>
    <row r="704" spans="1:27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</row>
    <row r="705" spans="1:27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</row>
    <row r="706" spans="1:27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</row>
    <row r="707" spans="1:2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</row>
    <row r="708" spans="1:27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</row>
    <row r="709" spans="1:27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</row>
    <row r="710" spans="1:27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</row>
    <row r="711" spans="1:27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</row>
    <row r="712" spans="1:27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</row>
    <row r="713" spans="1:27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</row>
    <row r="714" spans="1:27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</row>
    <row r="715" spans="1:27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</row>
    <row r="716" spans="1:27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</row>
    <row r="717" spans="1:2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</row>
    <row r="718" spans="1:27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</row>
    <row r="719" spans="1:27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</row>
    <row r="720" spans="1:27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</row>
    <row r="721" spans="1:27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</row>
    <row r="722" spans="1:27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</row>
    <row r="723" spans="1:27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</row>
    <row r="724" spans="1:27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</row>
    <row r="725" spans="1:27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</row>
    <row r="726" spans="1:27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</row>
    <row r="727" spans="1: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</row>
    <row r="728" spans="1:27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</row>
    <row r="729" spans="1:27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</row>
    <row r="730" spans="1:27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</row>
    <row r="731" spans="1:27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</row>
    <row r="732" spans="1:27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</row>
    <row r="733" spans="1:27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</row>
    <row r="734" spans="1:27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</row>
    <row r="735" spans="1:27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</row>
    <row r="736" spans="1:27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</row>
    <row r="737" spans="1:2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</row>
    <row r="738" spans="1:27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</row>
    <row r="739" spans="1:27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</row>
    <row r="740" spans="1:27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</row>
    <row r="741" spans="1:27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</row>
    <row r="742" spans="1:27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</row>
    <row r="743" spans="1:27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</row>
    <row r="744" spans="1:27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</row>
    <row r="745" spans="1:27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</row>
    <row r="746" spans="1:27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</row>
    <row r="747" spans="1:2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</row>
    <row r="748" spans="1:27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</row>
    <row r="749" spans="1:27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</row>
    <row r="750" spans="1:27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</row>
    <row r="751" spans="1:27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</row>
    <row r="752" spans="1:27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</row>
    <row r="753" spans="1:27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</row>
    <row r="754" spans="1:27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</row>
    <row r="755" spans="1:27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</row>
    <row r="756" spans="1:27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</row>
    <row r="757" spans="1:2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</row>
    <row r="758" spans="1:27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</row>
    <row r="759" spans="1:27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</row>
    <row r="760" spans="1:27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</row>
    <row r="761" spans="1:27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</row>
    <row r="762" spans="1:27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</row>
    <row r="763" spans="1:27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</row>
    <row r="764" spans="1:27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</row>
    <row r="765" spans="1:27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</row>
    <row r="766" spans="1:27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</row>
    <row r="767" spans="1:2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</row>
    <row r="768" spans="1:27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</row>
    <row r="769" spans="1:27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</row>
    <row r="770" spans="1:27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</row>
    <row r="771" spans="1:27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</row>
    <row r="772" spans="1:27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</row>
    <row r="773" spans="1:27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</row>
    <row r="774" spans="1:27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</row>
    <row r="775" spans="1:27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</row>
    <row r="776" spans="1:27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</row>
    <row r="777" spans="1:2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</row>
    <row r="778" spans="1:27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</row>
    <row r="779" spans="1:27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</row>
    <row r="780" spans="1:27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</row>
    <row r="781" spans="1:27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</row>
    <row r="782" spans="1:27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</row>
    <row r="783" spans="1:27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</row>
    <row r="784" spans="1:27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</row>
    <row r="785" spans="1:27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</row>
    <row r="786" spans="1:27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</row>
    <row r="787" spans="1:2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</row>
    <row r="788" spans="1:27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</row>
    <row r="789" spans="1:27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</row>
    <row r="790" spans="1:27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</row>
    <row r="791" spans="1:27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</row>
    <row r="792" spans="1:27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</row>
    <row r="793" spans="1:27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</row>
    <row r="794" spans="1:27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</row>
    <row r="795" spans="1:27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</row>
    <row r="796" spans="1:27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</row>
    <row r="797" spans="1:2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</row>
    <row r="798" spans="1:27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</row>
    <row r="799" spans="1:27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</row>
    <row r="800" spans="1:27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</row>
    <row r="801" spans="1:27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</row>
    <row r="802" spans="1:27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</row>
    <row r="803" spans="1:27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</row>
    <row r="804" spans="1:27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</row>
    <row r="805" spans="1:27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</row>
    <row r="806" spans="1:27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</row>
    <row r="807" spans="1:2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</row>
    <row r="808" spans="1:27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</row>
    <row r="809" spans="1:27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</row>
    <row r="810" spans="1:27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</row>
    <row r="811" spans="1:27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</row>
    <row r="812" spans="1:27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</row>
    <row r="813" spans="1:27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</row>
    <row r="814" spans="1:27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</row>
    <row r="815" spans="1:27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</row>
    <row r="816" spans="1:27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</row>
    <row r="817" spans="1:2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</row>
    <row r="818" spans="1:27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</row>
    <row r="819" spans="1:27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</row>
    <row r="820" spans="1:27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</row>
    <row r="821" spans="1:27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</row>
    <row r="822" spans="1:27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</row>
    <row r="823" spans="1:27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</row>
    <row r="824" spans="1:27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</row>
    <row r="825" spans="1:27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</row>
    <row r="826" spans="1:27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</row>
    <row r="827" spans="1: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</row>
    <row r="828" spans="1:27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</row>
    <row r="829" spans="1:27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</row>
    <row r="830" spans="1:27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</row>
    <row r="831" spans="1:27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</row>
    <row r="832" spans="1:27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</row>
    <row r="833" spans="1:27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</row>
    <row r="834" spans="1:27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</row>
    <row r="835" spans="1:27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</row>
    <row r="836" spans="1:27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</row>
    <row r="837" spans="1:2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</row>
    <row r="838" spans="1:27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</row>
    <row r="839" spans="1:27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</row>
    <row r="840" spans="1:27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</row>
    <row r="841" spans="1:27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</row>
    <row r="842" spans="1:27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</row>
    <row r="843" spans="1:27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</row>
    <row r="844" spans="1:27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</row>
    <row r="845" spans="1:27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</row>
    <row r="846" spans="1:27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</row>
    <row r="847" spans="1:2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</row>
    <row r="848" spans="1:27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</row>
    <row r="849" spans="1:27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</row>
    <row r="850" spans="1:27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</row>
    <row r="851" spans="1:27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</row>
    <row r="852" spans="1:27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</row>
    <row r="853" spans="1:27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</row>
    <row r="854" spans="1:27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</row>
    <row r="855" spans="1:27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</row>
    <row r="856" spans="1:27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</row>
    <row r="857" spans="1:2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</row>
    <row r="858" spans="1:27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</row>
    <row r="859" spans="1:27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</row>
    <row r="860" spans="1:27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</row>
    <row r="861" spans="1:27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</row>
    <row r="862" spans="1:27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</row>
    <row r="863" spans="1:27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</row>
    <row r="864" spans="1:27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</row>
    <row r="865" spans="1:27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</row>
    <row r="866" spans="1:27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</row>
    <row r="867" spans="1:2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</row>
    <row r="868" spans="1:27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</row>
    <row r="869" spans="1:27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</row>
    <row r="870" spans="1:27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</row>
    <row r="871" spans="1:27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</row>
    <row r="872" spans="1:27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</row>
    <row r="873" spans="1:27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</row>
    <row r="874" spans="1:27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</row>
    <row r="875" spans="1:27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</row>
    <row r="876" spans="1:27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</row>
    <row r="877" spans="1:2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</row>
    <row r="878" spans="1:27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</row>
    <row r="879" spans="1:27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</row>
    <row r="880" spans="1:27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</row>
    <row r="881" spans="1:27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</row>
    <row r="882" spans="1:27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</row>
    <row r="883" spans="1:27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</row>
    <row r="884" spans="1:27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</row>
    <row r="885" spans="1:27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</row>
    <row r="886" spans="1:27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</row>
    <row r="887" spans="1:2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</row>
    <row r="888" spans="1:27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</row>
    <row r="889" spans="1:27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</row>
    <row r="890" spans="1:27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</row>
    <row r="891" spans="1:27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</row>
    <row r="892" spans="1:27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</row>
    <row r="893" spans="1:27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</row>
    <row r="894" spans="1:27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</row>
    <row r="895" spans="1:27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</row>
    <row r="896" spans="1:27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</row>
    <row r="897" spans="1:2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</row>
    <row r="898" spans="1:27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</row>
    <row r="899" spans="1:27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</row>
    <row r="900" spans="1:27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</row>
    <row r="901" spans="1:27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</row>
    <row r="902" spans="1:27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</row>
    <row r="903" spans="1:27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</row>
    <row r="904" spans="1:27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</row>
    <row r="905" spans="1:27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</row>
    <row r="906" spans="1:27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</row>
    <row r="907" spans="1:2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</row>
    <row r="908" spans="1:27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</row>
    <row r="909" spans="1:27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</row>
    <row r="910" spans="1:27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</row>
    <row r="911" spans="1:27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</row>
    <row r="912" spans="1:27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</row>
    <row r="913" spans="1:27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</row>
    <row r="914" spans="1:27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</row>
    <row r="915" spans="1:27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</row>
    <row r="916" spans="1:27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</row>
    <row r="917" spans="1:2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</row>
    <row r="918" spans="1:27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</row>
    <row r="919" spans="1:27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</row>
    <row r="920" spans="1:27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</row>
    <row r="921" spans="1:27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</row>
    <row r="922" spans="1:27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</row>
    <row r="923" spans="1:27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</row>
    <row r="924" spans="1:27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</row>
    <row r="925" spans="1:27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</row>
    <row r="926" spans="1:27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</row>
    <row r="927" spans="1: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</row>
    <row r="928" spans="1:27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</row>
    <row r="929" spans="1:27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</row>
    <row r="930" spans="1:27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</row>
    <row r="931" spans="1:27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</row>
    <row r="932" spans="1:27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</row>
    <row r="933" spans="1:27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</row>
    <row r="934" spans="1:27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</row>
    <row r="935" spans="1:27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</row>
    <row r="936" spans="1:27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</row>
    <row r="937" spans="1:2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</row>
    <row r="938" spans="1:27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</row>
    <row r="939" spans="1:27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</row>
    <row r="940" spans="1:27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</row>
    <row r="941" spans="1:27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</row>
    <row r="942" spans="1:27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</row>
    <row r="943" spans="1:27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</row>
    <row r="944" spans="1:27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</row>
    <row r="945" spans="1:27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</row>
    <row r="946" spans="1:27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</row>
    <row r="947" spans="1:2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</row>
    <row r="948" spans="1:27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</row>
    <row r="949" spans="1:27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</row>
    <row r="950" spans="1:27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</row>
    <row r="951" spans="1:27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</row>
    <row r="952" spans="1:27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</row>
    <row r="953" spans="1:27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</row>
    <row r="954" spans="1:27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</row>
    <row r="955" spans="1:27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</row>
    <row r="956" spans="1:27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</row>
    <row r="957" spans="1:2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</row>
    <row r="958" spans="1:27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</row>
    <row r="959" spans="1:27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</row>
    <row r="960" spans="1:27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</row>
    <row r="961" spans="1:27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</row>
    <row r="962" spans="1:27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</row>
    <row r="963" spans="1:27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</row>
    <row r="964" spans="1:27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</row>
    <row r="965" spans="1:27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</row>
    <row r="966" spans="1:27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</row>
    <row r="967" spans="1:2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</row>
    <row r="968" spans="1:27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</row>
    <row r="969" spans="1:27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</row>
    <row r="970" spans="1:27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</row>
    <row r="971" spans="1:27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</row>
    <row r="972" spans="1:27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</row>
    <row r="973" spans="1:27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</row>
    <row r="974" spans="1:27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</row>
    <row r="975" spans="1:27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</row>
    <row r="976" spans="1:27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</row>
    <row r="977" spans="1:2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</row>
    <row r="978" spans="1:27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</row>
    <row r="979" spans="1:27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</row>
    <row r="980" spans="1:27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</row>
    <row r="981" spans="1:27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</row>
    <row r="982" spans="1:27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</row>
    <row r="983" spans="1:27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</row>
    <row r="984" spans="1:27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</row>
    <row r="985" spans="1:27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</row>
    <row r="986" spans="1:27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</row>
    <row r="987" spans="1:2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</row>
  </sheetData>
  <phoneticPr fontId="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55EDB-9D6D-40BF-8F40-4C2EB6D8A3DA}">
  <dimension ref="A1:Z1002"/>
  <sheetViews>
    <sheetView showGridLines="0" topLeftCell="A26" workbookViewId="0">
      <selection activeCell="A29" sqref="A29:K53"/>
    </sheetView>
  </sheetViews>
  <sheetFormatPr defaultColWidth="9" defaultRowHeight="10.5"/>
  <cols>
    <col min="1" max="16384" width="9" style="19"/>
  </cols>
  <sheetData>
    <row r="1" spans="1:26">
      <c r="A1" s="17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30.5">
      <c r="A2" s="20" t="s">
        <v>899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21" t="s">
        <v>900</v>
      </c>
      <c r="B3" s="21" t="s">
        <v>1</v>
      </c>
      <c r="C3" s="21" t="s">
        <v>901</v>
      </c>
      <c r="D3" s="21" t="s">
        <v>902</v>
      </c>
      <c r="E3" s="21" t="s">
        <v>2</v>
      </c>
      <c r="F3" s="21" t="s">
        <v>903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0.5">
      <c r="A4" s="22">
        <v>1</v>
      </c>
      <c r="B4" s="20" t="s">
        <v>129</v>
      </c>
      <c r="C4" s="22">
        <v>35</v>
      </c>
      <c r="D4" s="20" t="s">
        <v>904</v>
      </c>
      <c r="E4" s="20" t="s">
        <v>905</v>
      </c>
      <c r="F4" s="22">
        <v>10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0.5">
      <c r="A5" s="22">
        <v>2</v>
      </c>
      <c r="B5" s="20" t="s">
        <v>164</v>
      </c>
      <c r="C5" s="22">
        <v>35</v>
      </c>
      <c r="D5" s="20" t="s">
        <v>904</v>
      </c>
      <c r="E5" s="20" t="s">
        <v>906</v>
      </c>
      <c r="F5" s="22">
        <v>10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0.5">
      <c r="A6" s="22">
        <v>3</v>
      </c>
      <c r="B6" s="20" t="s">
        <v>907</v>
      </c>
      <c r="C6" s="22">
        <v>30</v>
      </c>
      <c r="D6" s="20" t="s">
        <v>904</v>
      </c>
      <c r="E6" s="20" t="s">
        <v>586</v>
      </c>
      <c r="F6" s="22">
        <v>10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0.5">
      <c r="A7" s="22">
        <v>4</v>
      </c>
      <c r="B7" s="20" t="s">
        <v>908</v>
      </c>
      <c r="C7" s="22">
        <v>30</v>
      </c>
      <c r="D7" s="20" t="s">
        <v>904</v>
      </c>
      <c r="E7" s="20" t="s">
        <v>909</v>
      </c>
      <c r="F7" s="22">
        <v>8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>
      <c r="A8" s="22">
        <v>5</v>
      </c>
      <c r="B8" s="20" t="s">
        <v>910</v>
      </c>
      <c r="C8" s="22">
        <v>27</v>
      </c>
      <c r="D8" s="20" t="s">
        <v>904</v>
      </c>
      <c r="E8" s="20" t="s">
        <v>17</v>
      </c>
      <c r="F8" s="22">
        <v>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0.5">
      <c r="A9" s="22">
        <v>6</v>
      </c>
      <c r="B9" s="20" t="s">
        <v>100</v>
      </c>
      <c r="C9" s="22">
        <v>24</v>
      </c>
      <c r="D9" s="20" t="s">
        <v>904</v>
      </c>
      <c r="E9" s="20" t="s">
        <v>911</v>
      </c>
      <c r="F9" s="22">
        <v>7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22">
        <v>7</v>
      </c>
      <c r="B10" s="20" t="s">
        <v>245</v>
      </c>
      <c r="C10" s="22">
        <v>24</v>
      </c>
      <c r="D10" s="20" t="s">
        <v>904</v>
      </c>
      <c r="E10" s="20" t="s">
        <v>101</v>
      </c>
      <c r="F10" s="22">
        <v>8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22">
        <v>8</v>
      </c>
      <c r="B11" s="20" t="s">
        <v>144</v>
      </c>
      <c r="C11" s="22">
        <v>24</v>
      </c>
      <c r="D11" s="20" t="s">
        <v>904</v>
      </c>
      <c r="E11" s="20" t="s">
        <v>17</v>
      </c>
      <c r="F11" s="22">
        <v>8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0.5">
      <c r="A12" s="22">
        <v>9</v>
      </c>
      <c r="B12" s="20" t="s">
        <v>912</v>
      </c>
      <c r="C12" s="22">
        <v>21</v>
      </c>
      <c r="D12" s="20" t="s">
        <v>904</v>
      </c>
      <c r="E12" s="20" t="s">
        <v>906</v>
      </c>
      <c r="F12" s="22">
        <v>6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0.5">
      <c r="A13" s="22">
        <v>10</v>
      </c>
      <c r="B13" s="20" t="s">
        <v>160</v>
      </c>
      <c r="C13" s="22">
        <v>20</v>
      </c>
      <c r="D13" s="20" t="s">
        <v>904</v>
      </c>
      <c r="E13" s="20" t="s">
        <v>906</v>
      </c>
      <c r="F13" s="22">
        <v>6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22">
        <v>11</v>
      </c>
      <c r="B14" s="20" t="s">
        <v>50</v>
      </c>
      <c r="C14" s="22">
        <v>18</v>
      </c>
      <c r="D14" s="20" t="s">
        <v>904</v>
      </c>
      <c r="E14" s="20" t="s">
        <v>586</v>
      </c>
      <c r="F14" s="22">
        <v>6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22">
        <v>12</v>
      </c>
      <c r="B15" s="20" t="s">
        <v>913</v>
      </c>
      <c r="C15" s="22">
        <v>18</v>
      </c>
      <c r="D15" s="20" t="s">
        <v>904</v>
      </c>
      <c r="E15" s="20" t="s">
        <v>586</v>
      </c>
      <c r="F15" s="22">
        <v>6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22">
        <v>13</v>
      </c>
      <c r="B16" s="20" t="s">
        <v>914</v>
      </c>
      <c r="C16" s="22">
        <v>18</v>
      </c>
      <c r="D16" s="20" t="s">
        <v>904</v>
      </c>
      <c r="E16" s="20" t="s">
        <v>586</v>
      </c>
      <c r="F16" s="22">
        <v>6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22">
        <v>14</v>
      </c>
      <c r="B17" s="20" t="s">
        <v>589</v>
      </c>
      <c r="C17" s="22">
        <v>18</v>
      </c>
      <c r="D17" s="20" t="s">
        <v>915</v>
      </c>
      <c r="E17" s="20" t="s">
        <v>17</v>
      </c>
      <c r="F17" s="22">
        <v>9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22">
        <v>15</v>
      </c>
      <c r="B18" s="20" t="s">
        <v>916</v>
      </c>
      <c r="C18" s="22">
        <v>15</v>
      </c>
      <c r="D18" s="20" t="s">
        <v>904</v>
      </c>
      <c r="E18" s="20" t="s">
        <v>586</v>
      </c>
      <c r="F18" s="22">
        <v>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22">
        <v>16</v>
      </c>
      <c r="B19" s="20" t="s">
        <v>917</v>
      </c>
      <c r="C19" s="22">
        <v>15</v>
      </c>
      <c r="D19" s="20" t="s">
        <v>904</v>
      </c>
      <c r="E19" s="20" t="s">
        <v>586</v>
      </c>
      <c r="F19" s="22">
        <v>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22">
        <v>17</v>
      </c>
      <c r="B20" s="20" t="s">
        <v>918</v>
      </c>
      <c r="C20" s="22">
        <v>15</v>
      </c>
      <c r="D20" s="20" t="s">
        <v>904</v>
      </c>
      <c r="E20" s="20" t="s">
        <v>586</v>
      </c>
      <c r="F20" s="22">
        <v>5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0.5">
      <c r="A21" s="22">
        <v>18</v>
      </c>
      <c r="B21" s="20" t="s">
        <v>484</v>
      </c>
      <c r="C21" s="22">
        <v>15</v>
      </c>
      <c r="D21" s="20" t="s">
        <v>904</v>
      </c>
      <c r="E21" s="20" t="s">
        <v>911</v>
      </c>
      <c r="F21" s="22">
        <v>4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0.5">
      <c r="A22" s="22">
        <v>19</v>
      </c>
      <c r="B22" s="20" t="s">
        <v>919</v>
      </c>
      <c r="C22" s="22">
        <v>15</v>
      </c>
      <c r="D22" s="20" t="s">
        <v>904</v>
      </c>
      <c r="E22" s="20" t="s">
        <v>906</v>
      </c>
      <c r="F22" s="22">
        <v>4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>
      <c r="A23" s="22">
        <v>20</v>
      </c>
      <c r="B23" s="20" t="s">
        <v>147</v>
      </c>
      <c r="C23" s="22">
        <v>9</v>
      </c>
      <c r="D23" s="20" t="s">
        <v>904</v>
      </c>
      <c r="E23" s="20" t="s">
        <v>17</v>
      </c>
      <c r="F23" s="22">
        <v>3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0.5">
      <c r="A24" s="22">
        <v>21</v>
      </c>
      <c r="B24" s="20" t="s">
        <v>449</v>
      </c>
      <c r="C24" s="22">
        <v>9</v>
      </c>
      <c r="D24" s="20" t="s">
        <v>904</v>
      </c>
      <c r="E24" s="20" t="s">
        <v>911</v>
      </c>
      <c r="F24" s="22">
        <v>2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30.5">
      <c r="A25" s="22">
        <v>22</v>
      </c>
      <c r="B25" s="20" t="s">
        <v>920</v>
      </c>
      <c r="C25" s="22">
        <v>9</v>
      </c>
      <c r="D25" s="20" t="s">
        <v>904</v>
      </c>
      <c r="E25" s="20" t="s">
        <v>921</v>
      </c>
      <c r="F25" s="22">
        <v>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0.5">
      <c r="A26" s="22">
        <v>23</v>
      </c>
      <c r="B26" s="20" t="s">
        <v>922</v>
      </c>
      <c r="C26" s="22">
        <v>6</v>
      </c>
      <c r="D26" s="20" t="s">
        <v>904</v>
      </c>
      <c r="E26" s="20" t="s">
        <v>906</v>
      </c>
      <c r="F26" s="22">
        <v>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0.5">
      <c r="A27" s="22">
        <v>24</v>
      </c>
      <c r="B27" s="20" t="s">
        <v>923</v>
      </c>
      <c r="C27" s="22">
        <v>3</v>
      </c>
      <c r="D27" s="20" t="s">
        <v>904</v>
      </c>
      <c r="E27" s="20" t="s">
        <v>457</v>
      </c>
      <c r="F27" s="22">
        <v>1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0.5">
      <c r="A28" s="20" t="s">
        <v>924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>
      <c r="A29" s="21" t="s">
        <v>925</v>
      </c>
      <c r="B29" s="23" t="s">
        <v>23</v>
      </c>
      <c r="C29" s="21" t="s">
        <v>689</v>
      </c>
      <c r="D29" s="23" t="s">
        <v>29</v>
      </c>
      <c r="E29" s="21" t="s">
        <v>35</v>
      </c>
      <c r="F29" s="21" t="s">
        <v>115</v>
      </c>
      <c r="G29" s="21" t="s">
        <v>150</v>
      </c>
      <c r="H29" s="21" t="s">
        <v>36</v>
      </c>
      <c r="I29" s="21" t="s">
        <v>203</v>
      </c>
      <c r="J29" s="21" t="s">
        <v>926</v>
      </c>
      <c r="K29" s="21" t="s">
        <v>233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>
      <c r="A30" s="20" t="s">
        <v>129</v>
      </c>
      <c r="B30" s="20" t="s">
        <v>927</v>
      </c>
      <c r="C30" s="20" t="s">
        <v>927</v>
      </c>
      <c r="D30" s="24" t="s">
        <v>928</v>
      </c>
      <c r="E30" s="20" t="s">
        <v>927</v>
      </c>
      <c r="F30" s="20" t="s">
        <v>927</v>
      </c>
      <c r="G30" s="20" t="s">
        <v>927</v>
      </c>
      <c r="H30" s="20" t="s">
        <v>927</v>
      </c>
      <c r="I30" s="20" t="s">
        <v>927</v>
      </c>
      <c r="J30" s="20" t="s">
        <v>927</v>
      </c>
      <c r="K30" s="20" t="s">
        <v>927</v>
      </c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>
      <c r="A31" s="20" t="s">
        <v>164</v>
      </c>
      <c r="B31" s="20" t="s">
        <v>927</v>
      </c>
      <c r="C31" s="20" t="s">
        <v>927</v>
      </c>
      <c r="D31" s="25" t="s">
        <v>927</v>
      </c>
      <c r="E31" s="20" t="s">
        <v>927</v>
      </c>
      <c r="F31" s="20" t="s">
        <v>927</v>
      </c>
      <c r="G31" s="20" t="s">
        <v>927</v>
      </c>
      <c r="H31" s="20" t="s">
        <v>927</v>
      </c>
      <c r="I31" s="20" t="s">
        <v>927</v>
      </c>
      <c r="J31" s="20" t="s">
        <v>927</v>
      </c>
      <c r="K31" s="20" t="s">
        <v>927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20" t="s">
        <v>929</v>
      </c>
      <c r="B32" s="20" t="s">
        <v>927</v>
      </c>
      <c r="C32" s="20" t="s">
        <v>927</v>
      </c>
      <c r="D32" s="25" t="s">
        <v>927</v>
      </c>
      <c r="E32" s="20" t="s">
        <v>927</v>
      </c>
      <c r="F32" s="20" t="s">
        <v>927</v>
      </c>
      <c r="G32" s="20" t="s">
        <v>927</v>
      </c>
      <c r="H32" s="20" t="s">
        <v>927</v>
      </c>
      <c r="I32" s="20" t="s">
        <v>927</v>
      </c>
      <c r="J32" s="20" t="s">
        <v>927</v>
      </c>
      <c r="K32" s="20" t="s">
        <v>927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20" t="s">
        <v>930</v>
      </c>
      <c r="B33" s="20" t="s">
        <v>927</v>
      </c>
      <c r="C33" s="20" t="s">
        <v>927</v>
      </c>
      <c r="D33" s="25" t="s">
        <v>927</v>
      </c>
      <c r="E33" s="20" t="s">
        <v>927</v>
      </c>
      <c r="F33" s="20" t="s">
        <v>931</v>
      </c>
      <c r="G33" s="20" t="s">
        <v>931</v>
      </c>
      <c r="H33" s="20" t="s">
        <v>927</v>
      </c>
      <c r="I33" s="20" t="s">
        <v>927</v>
      </c>
      <c r="J33" s="20" t="s">
        <v>927</v>
      </c>
      <c r="K33" s="20" t="s">
        <v>927</v>
      </c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20" t="s">
        <v>245</v>
      </c>
      <c r="B34" s="20" t="s">
        <v>927</v>
      </c>
      <c r="C34" s="26" t="s">
        <v>927</v>
      </c>
      <c r="D34" s="25" t="s">
        <v>927</v>
      </c>
      <c r="E34" s="20" t="s">
        <v>927</v>
      </c>
      <c r="F34" s="20" t="s">
        <v>927</v>
      </c>
      <c r="G34" s="20" t="s">
        <v>931</v>
      </c>
      <c r="H34" s="20" t="s">
        <v>927</v>
      </c>
      <c r="I34" s="20" t="s">
        <v>927</v>
      </c>
      <c r="J34" s="20" t="s">
        <v>927</v>
      </c>
      <c r="K34" s="20" t="s">
        <v>931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20" t="s">
        <v>932</v>
      </c>
      <c r="B35" s="20" t="s">
        <v>927</v>
      </c>
      <c r="C35" s="20" t="s">
        <v>927</v>
      </c>
      <c r="D35" s="25" t="s">
        <v>927</v>
      </c>
      <c r="E35" s="20" t="s">
        <v>927</v>
      </c>
      <c r="F35" s="20" t="s">
        <v>927</v>
      </c>
      <c r="G35" s="20" t="s">
        <v>931</v>
      </c>
      <c r="H35" s="20" t="s">
        <v>931</v>
      </c>
      <c r="I35" s="20" t="s">
        <v>927</v>
      </c>
      <c r="J35" s="20" t="s">
        <v>927</v>
      </c>
      <c r="K35" s="20" t="s">
        <v>931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20" t="s">
        <v>910</v>
      </c>
      <c r="B36" s="20" t="s">
        <v>927</v>
      </c>
      <c r="C36" s="20" t="s">
        <v>931</v>
      </c>
      <c r="D36" s="25" t="s">
        <v>927</v>
      </c>
      <c r="E36" s="20" t="s">
        <v>927</v>
      </c>
      <c r="F36" s="20" t="s">
        <v>927</v>
      </c>
      <c r="G36" s="20" t="s">
        <v>927</v>
      </c>
      <c r="H36" s="20" t="s">
        <v>927</v>
      </c>
      <c r="I36" s="20" t="s">
        <v>927</v>
      </c>
      <c r="J36" s="20" t="s">
        <v>927</v>
      </c>
      <c r="K36" s="20" t="s">
        <v>927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20" t="s">
        <v>933</v>
      </c>
      <c r="B37" s="25" t="s">
        <v>927</v>
      </c>
      <c r="C37" s="20" t="s">
        <v>931</v>
      </c>
      <c r="D37" s="25" t="s">
        <v>927</v>
      </c>
      <c r="E37" s="20" t="s">
        <v>927</v>
      </c>
      <c r="F37" s="20" t="s">
        <v>927</v>
      </c>
      <c r="G37" s="20" t="s">
        <v>927</v>
      </c>
      <c r="H37" s="20" t="s">
        <v>927</v>
      </c>
      <c r="I37" s="20" t="s">
        <v>927</v>
      </c>
      <c r="J37" s="20" t="s">
        <v>927</v>
      </c>
      <c r="K37" s="20" t="s">
        <v>931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>
      <c r="A38" s="20" t="s">
        <v>934</v>
      </c>
      <c r="B38" s="20" t="s">
        <v>927</v>
      </c>
      <c r="C38" s="20" t="s">
        <v>931</v>
      </c>
      <c r="D38" s="25" t="s">
        <v>927</v>
      </c>
      <c r="E38" s="20" t="s">
        <v>927</v>
      </c>
      <c r="F38" s="20" t="s">
        <v>927</v>
      </c>
      <c r="G38" s="20" t="s">
        <v>927</v>
      </c>
      <c r="H38" s="20" t="s">
        <v>927</v>
      </c>
      <c r="I38" s="20" t="s">
        <v>931</v>
      </c>
      <c r="J38" s="20" t="s">
        <v>931</v>
      </c>
      <c r="K38" s="20" t="s">
        <v>931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>
      <c r="A39" s="20" t="s">
        <v>935</v>
      </c>
      <c r="B39" s="20" t="s">
        <v>927</v>
      </c>
      <c r="C39" s="20" t="s">
        <v>927</v>
      </c>
      <c r="D39" s="25" t="s">
        <v>927</v>
      </c>
      <c r="E39" s="20" t="s">
        <v>931</v>
      </c>
      <c r="F39" s="20" t="s">
        <v>931</v>
      </c>
      <c r="G39" s="20" t="s">
        <v>931</v>
      </c>
      <c r="H39" s="20" t="s">
        <v>927</v>
      </c>
      <c r="I39" s="20" t="s">
        <v>927</v>
      </c>
      <c r="J39" s="20" t="s">
        <v>931</v>
      </c>
      <c r="K39" s="20" t="s">
        <v>927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20" t="s">
        <v>913</v>
      </c>
      <c r="B40" s="20" t="s">
        <v>927</v>
      </c>
      <c r="C40" s="20" t="s">
        <v>927</v>
      </c>
      <c r="D40" s="25" t="s">
        <v>927</v>
      </c>
      <c r="E40" s="20" t="s">
        <v>931</v>
      </c>
      <c r="F40" s="20" t="s">
        <v>931</v>
      </c>
      <c r="G40" s="20" t="s">
        <v>931</v>
      </c>
      <c r="H40" s="26" t="s">
        <v>927</v>
      </c>
      <c r="I40" s="26" t="s">
        <v>927</v>
      </c>
      <c r="J40" s="20" t="s">
        <v>931</v>
      </c>
      <c r="K40" s="20" t="s">
        <v>927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20" t="s">
        <v>936</v>
      </c>
      <c r="B41" s="20" t="s">
        <v>927</v>
      </c>
      <c r="C41" s="20" t="s">
        <v>927</v>
      </c>
      <c r="D41" s="25" t="s">
        <v>927</v>
      </c>
      <c r="E41" s="20" t="s">
        <v>927</v>
      </c>
      <c r="F41" s="20" t="s">
        <v>927</v>
      </c>
      <c r="G41" s="20" t="s">
        <v>931</v>
      </c>
      <c r="H41" s="20" t="s">
        <v>927</v>
      </c>
      <c r="I41" s="20" t="s">
        <v>931</v>
      </c>
      <c r="J41" s="20" t="s">
        <v>931</v>
      </c>
      <c r="K41" s="20" t="s">
        <v>931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20" t="s">
        <v>937</v>
      </c>
      <c r="B42" s="25" t="s">
        <v>927</v>
      </c>
      <c r="C42" s="20" t="s">
        <v>931</v>
      </c>
      <c r="D42" s="25" t="s">
        <v>927</v>
      </c>
      <c r="E42" s="20" t="s">
        <v>927</v>
      </c>
      <c r="F42" s="20" t="s">
        <v>927</v>
      </c>
      <c r="G42" s="20" t="s">
        <v>931</v>
      </c>
      <c r="H42" s="20" t="s">
        <v>931</v>
      </c>
      <c r="I42" s="20" t="s">
        <v>927</v>
      </c>
      <c r="J42" s="20" t="s">
        <v>927</v>
      </c>
      <c r="K42" s="20" t="s">
        <v>931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20" t="s">
        <v>589</v>
      </c>
      <c r="B43" s="20" t="s">
        <v>927</v>
      </c>
      <c r="C43" s="20" t="s">
        <v>927</v>
      </c>
      <c r="D43" s="25" t="s">
        <v>927</v>
      </c>
      <c r="E43" s="20" t="s">
        <v>927</v>
      </c>
      <c r="F43" s="20" t="s">
        <v>927</v>
      </c>
      <c r="G43" s="20" t="s">
        <v>927</v>
      </c>
      <c r="H43" s="20" t="s">
        <v>927</v>
      </c>
      <c r="I43" s="20" t="s">
        <v>927</v>
      </c>
      <c r="J43" s="20" t="s">
        <v>927</v>
      </c>
      <c r="K43" s="20" t="s">
        <v>931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20" t="s">
        <v>919</v>
      </c>
      <c r="B44" s="20" t="s">
        <v>927</v>
      </c>
      <c r="C44" s="20" t="s">
        <v>927</v>
      </c>
      <c r="D44" s="25" t="s">
        <v>927</v>
      </c>
      <c r="E44" s="20" t="s">
        <v>927</v>
      </c>
      <c r="F44" s="20" t="s">
        <v>931</v>
      </c>
      <c r="G44" s="20" t="s">
        <v>931</v>
      </c>
      <c r="H44" s="20" t="s">
        <v>931</v>
      </c>
      <c r="I44" s="20" t="s">
        <v>931</v>
      </c>
      <c r="J44" s="20" t="s">
        <v>931</v>
      </c>
      <c r="K44" s="20" t="s">
        <v>931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20" t="s">
        <v>938</v>
      </c>
      <c r="B45" s="20" t="s">
        <v>927</v>
      </c>
      <c r="C45" s="20" t="s">
        <v>931</v>
      </c>
      <c r="D45" s="25" t="s">
        <v>927</v>
      </c>
      <c r="E45" s="20" t="s">
        <v>927</v>
      </c>
      <c r="F45" s="20" t="s">
        <v>927</v>
      </c>
      <c r="G45" s="20" t="s">
        <v>931</v>
      </c>
      <c r="H45" s="20" t="s">
        <v>931</v>
      </c>
      <c r="I45" s="20" t="s">
        <v>931</v>
      </c>
      <c r="J45" s="20" t="s">
        <v>931</v>
      </c>
      <c r="K45" s="20" t="s">
        <v>931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>
      <c r="A46" s="20" t="s">
        <v>916</v>
      </c>
      <c r="B46" s="20" t="s">
        <v>927</v>
      </c>
      <c r="C46" s="20" t="s">
        <v>927</v>
      </c>
      <c r="D46" s="25" t="s">
        <v>927</v>
      </c>
      <c r="E46" s="20" t="s">
        <v>931</v>
      </c>
      <c r="F46" s="20" t="s">
        <v>931</v>
      </c>
      <c r="G46" s="20" t="s">
        <v>931</v>
      </c>
      <c r="H46" s="20" t="s">
        <v>927</v>
      </c>
      <c r="I46" s="20" t="s">
        <v>927</v>
      </c>
      <c r="J46" s="20" t="s">
        <v>931</v>
      </c>
      <c r="K46" s="20" t="s">
        <v>931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>
      <c r="A47" s="20" t="s">
        <v>917</v>
      </c>
      <c r="B47" s="20" t="s">
        <v>927</v>
      </c>
      <c r="C47" s="20" t="s">
        <v>927</v>
      </c>
      <c r="D47" s="25" t="s">
        <v>927</v>
      </c>
      <c r="E47" s="20" t="s">
        <v>931</v>
      </c>
      <c r="F47" s="20" t="s">
        <v>931</v>
      </c>
      <c r="G47" s="20" t="s">
        <v>931</v>
      </c>
      <c r="H47" s="20" t="s">
        <v>927</v>
      </c>
      <c r="I47" s="20" t="s">
        <v>927</v>
      </c>
      <c r="J47" s="20" t="s">
        <v>931</v>
      </c>
      <c r="K47" s="20" t="s">
        <v>931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>
      <c r="A48" s="20" t="s">
        <v>918</v>
      </c>
      <c r="B48" s="20" t="s">
        <v>927</v>
      </c>
      <c r="C48" s="20" t="s">
        <v>927</v>
      </c>
      <c r="D48" s="25" t="s">
        <v>927</v>
      </c>
      <c r="E48" s="20" t="s">
        <v>931</v>
      </c>
      <c r="F48" s="20" t="s">
        <v>931</v>
      </c>
      <c r="G48" s="20" t="s">
        <v>931</v>
      </c>
      <c r="H48" s="20" t="s">
        <v>927</v>
      </c>
      <c r="I48" s="20" t="s">
        <v>927</v>
      </c>
      <c r="J48" s="20" t="s">
        <v>931</v>
      </c>
      <c r="K48" s="20" t="s">
        <v>931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20" t="s">
        <v>147</v>
      </c>
      <c r="B49" s="25" t="s">
        <v>927</v>
      </c>
      <c r="C49" s="20" t="s">
        <v>931</v>
      </c>
      <c r="D49" s="20" t="s">
        <v>927</v>
      </c>
      <c r="E49" s="20" t="s">
        <v>931</v>
      </c>
      <c r="F49" s="20" t="s">
        <v>931</v>
      </c>
      <c r="G49" s="20" t="s">
        <v>931</v>
      </c>
      <c r="H49" s="20" t="s">
        <v>931</v>
      </c>
      <c r="I49" s="20" t="s">
        <v>927</v>
      </c>
      <c r="J49" s="20" t="s">
        <v>931</v>
      </c>
      <c r="K49" s="20" t="s">
        <v>931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20" t="s">
        <v>449</v>
      </c>
      <c r="B50" s="20" t="s">
        <v>927</v>
      </c>
      <c r="C50" s="20" t="s">
        <v>931</v>
      </c>
      <c r="D50" s="20" t="s">
        <v>927</v>
      </c>
      <c r="E50" s="20" t="s">
        <v>931</v>
      </c>
      <c r="F50" s="20" t="s">
        <v>931</v>
      </c>
      <c r="G50" s="20" t="s">
        <v>931</v>
      </c>
      <c r="H50" s="20" t="s">
        <v>931</v>
      </c>
      <c r="I50" s="20" t="s">
        <v>931</v>
      </c>
      <c r="J50" s="20" t="s">
        <v>931</v>
      </c>
      <c r="K50" s="20" t="s">
        <v>931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0.5">
      <c r="A51" s="20" t="s">
        <v>920</v>
      </c>
      <c r="B51" s="20" t="s">
        <v>927</v>
      </c>
      <c r="C51" s="20" t="s">
        <v>931</v>
      </c>
      <c r="D51" s="20" t="s">
        <v>931</v>
      </c>
      <c r="E51" s="20" t="s">
        <v>931</v>
      </c>
      <c r="F51" s="20" t="s">
        <v>931</v>
      </c>
      <c r="G51" s="20" t="s">
        <v>931</v>
      </c>
      <c r="H51" s="20" t="s">
        <v>931</v>
      </c>
      <c r="I51" s="20" t="s">
        <v>931</v>
      </c>
      <c r="J51" s="20" t="s">
        <v>931</v>
      </c>
      <c r="K51" s="20" t="s">
        <v>931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>
      <c r="A52" s="20" t="s">
        <v>939</v>
      </c>
      <c r="B52" s="20" t="s">
        <v>927</v>
      </c>
      <c r="C52" s="20" t="s">
        <v>931</v>
      </c>
      <c r="D52" s="20" t="s">
        <v>931</v>
      </c>
      <c r="E52" s="20" t="s">
        <v>931</v>
      </c>
      <c r="F52" s="20" t="s">
        <v>931</v>
      </c>
      <c r="G52" s="20" t="s">
        <v>931</v>
      </c>
      <c r="H52" s="20" t="s">
        <v>931</v>
      </c>
      <c r="I52" s="20" t="s">
        <v>931</v>
      </c>
      <c r="J52" s="20" t="s">
        <v>931</v>
      </c>
      <c r="K52" s="20" t="s">
        <v>931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24" t="s">
        <v>605</v>
      </c>
      <c r="B53" s="20" t="s">
        <v>927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17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0.5">
      <c r="A55" s="20" t="s">
        <v>940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0.5">
      <c r="A56" s="20" t="s">
        <v>941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21" t="s">
        <v>925</v>
      </c>
      <c r="B57" s="21" t="s">
        <v>2</v>
      </c>
      <c r="C57" s="21" t="s">
        <v>942</v>
      </c>
      <c r="D57" s="21" t="s">
        <v>943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20" t="s">
        <v>944</v>
      </c>
      <c r="B58" s="20" t="s">
        <v>586</v>
      </c>
      <c r="C58" s="20" t="s">
        <v>904</v>
      </c>
      <c r="D58" s="22">
        <v>10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0.5">
      <c r="A59" s="20" t="s">
        <v>908</v>
      </c>
      <c r="B59" s="20" t="s">
        <v>909</v>
      </c>
      <c r="C59" s="20" t="s">
        <v>904</v>
      </c>
      <c r="D59" s="22">
        <v>8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20" t="s">
        <v>50</v>
      </c>
      <c r="B60" s="20" t="s">
        <v>586</v>
      </c>
      <c r="C60" s="20" t="s">
        <v>904</v>
      </c>
      <c r="D60" s="22">
        <v>6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20" t="s">
        <v>913</v>
      </c>
      <c r="B61" s="20" t="s">
        <v>586</v>
      </c>
      <c r="C61" s="20" t="s">
        <v>904</v>
      </c>
      <c r="D61" s="22">
        <v>6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20" t="s">
        <v>914</v>
      </c>
      <c r="B62" s="20" t="s">
        <v>586</v>
      </c>
      <c r="C62" s="20" t="s">
        <v>904</v>
      </c>
      <c r="D62" s="22">
        <v>6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20" t="s">
        <v>916</v>
      </c>
      <c r="B63" s="20" t="s">
        <v>586</v>
      </c>
      <c r="C63" s="20" t="s">
        <v>904</v>
      </c>
      <c r="D63" s="22">
        <v>5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20" t="s">
        <v>917</v>
      </c>
      <c r="B64" s="20" t="s">
        <v>586</v>
      </c>
      <c r="C64" s="20" t="s">
        <v>904</v>
      </c>
      <c r="D64" s="22">
        <v>5</v>
      </c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20" t="s">
        <v>918</v>
      </c>
      <c r="B65" s="20" t="s">
        <v>586</v>
      </c>
      <c r="C65" s="20" t="s">
        <v>904</v>
      </c>
      <c r="D65" s="22">
        <v>5</v>
      </c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40.5">
      <c r="A66" s="20" t="s">
        <v>945</v>
      </c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21" t="s">
        <v>925</v>
      </c>
      <c r="B67" s="21" t="s">
        <v>2</v>
      </c>
      <c r="C67" s="21" t="s">
        <v>942</v>
      </c>
      <c r="D67" s="21" t="s">
        <v>943</v>
      </c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20" t="s">
        <v>245</v>
      </c>
      <c r="B68" s="20" t="s">
        <v>101</v>
      </c>
      <c r="C68" s="20" t="s">
        <v>904</v>
      </c>
      <c r="D68" s="22">
        <v>8</v>
      </c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0.5">
      <c r="A69" s="20" t="s">
        <v>100</v>
      </c>
      <c r="B69" s="20" t="s">
        <v>911</v>
      </c>
      <c r="C69" s="20" t="s">
        <v>904</v>
      </c>
      <c r="D69" s="22">
        <v>7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0.5">
      <c r="A70" s="20" t="s">
        <v>484</v>
      </c>
      <c r="B70" s="20" t="s">
        <v>911</v>
      </c>
      <c r="C70" s="20" t="s">
        <v>904</v>
      </c>
      <c r="D70" s="22">
        <v>4</v>
      </c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30.5">
      <c r="A71" s="20" t="s">
        <v>946</v>
      </c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21" t="s">
        <v>925</v>
      </c>
      <c r="B72" s="21" t="s">
        <v>2</v>
      </c>
      <c r="C72" s="21" t="s">
        <v>942</v>
      </c>
      <c r="D72" s="21" t="s">
        <v>943</v>
      </c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0.5">
      <c r="A73" s="20" t="s">
        <v>164</v>
      </c>
      <c r="B73" s="20" t="s">
        <v>906</v>
      </c>
      <c r="C73" s="20" t="s">
        <v>904</v>
      </c>
      <c r="D73" s="22">
        <v>10</v>
      </c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0.5">
      <c r="A74" s="20" t="s">
        <v>934</v>
      </c>
      <c r="B74" s="20" t="s">
        <v>906</v>
      </c>
      <c r="C74" s="20" t="s">
        <v>904</v>
      </c>
      <c r="D74" s="22">
        <v>6</v>
      </c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0.5">
      <c r="A75" s="20" t="s">
        <v>947</v>
      </c>
      <c r="B75" s="20" t="s">
        <v>906</v>
      </c>
      <c r="C75" s="20" t="s">
        <v>904</v>
      </c>
      <c r="D75" s="22">
        <v>6</v>
      </c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0.5">
      <c r="A76" s="20" t="s">
        <v>919</v>
      </c>
      <c r="B76" s="20" t="s">
        <v>906</v>
      </c>
      <c r="C76" s="20" t="s">
        <v>904</v>
      </c>
      <c r="D76" s="22">
        <v>4</v>
      </c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0.5">
      <c r="A77" s="20" t="s">
        <v>939</v>
      </c>
      <c r="B77" s="20" t="s">
        <v>906</v>
      </c>
      <c r="C77" s="20" t="s">
        <v>904</v>
      </c>
      <c r="D77" s="22">
        <v>1</v>
      </c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30.5">
      <c r="A78" s="20" t="s">
        <v>948</v>
      </c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>
      <c r="A79" s="21" t="s">
        <v>925</v>
      </c>
      <c r="B79" s="21" t="s">
        <v>2</v>
      </c>
      <c r="C79" s="21" t="s">
        <v>942</v>
      </c>
      <c r="D79" s="21" t="s">
        <v>943</v>
      </c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20" t="s">
        <v>910</v>
      </c>
      <c r="B80" s="20" t="s">
        <v>17</v>
      </c>
      <c r="C80" s="20" t="s">
        <v>904</v>
      </c>
      <c r="D80" s="22">
        <v>9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>
      <c r="A81" s="20" t="s">
        <v>933</v>
      </c>
      <c r="B81" s="20" t="s">
        <v>17</v>
      </c>
      <c r="C81" s="20" t="s">
        <v>904</v>
      </c>
      <c r="D81" s="22">
        <v>8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>
      <c r="A82" s="20" t="s">
        <v>589</v>
      </c>
      <c r="B82" s="20" t="s">
        <v>17</v>
      </c>
      <c r="C82" s="20" t="s">
        <v>915</v>
      </c>
      <c r="D82" s="22">
        <v>9</v>
      </c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>
      <c r="A83" s="20" t="s">
        <v>147</v>
      </c>
      <c r="B83" s="20" t="s">
        <v>17</v>
      </c>
      <c r="C83" s="20" t="s">
        <v>904</v>
      </c>
      <c r="D83" s="22">
        <v>3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0.5">
      <c r="A84" s="20" t="s">
        <v>949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>
      <c r="A85" s="21" t="s">
        <v>950</v>
      </c>
      <c r="B85" s="21" t="s">
        <v>925</v>
      </c>
      <c r="C85" s="21" t="s">
        <v>951</v>
      </c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0.5">
      <c r="A86" s="20" t="s">
        <v>952</v>
      </c>
      <c r="B86" s="20" t="s">
        <v>953</v>
      </c>
      <c r="C86" s="20" t="s">
        <v>954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50.5">
      <c r="A87" s="20" t="s">
        <v>955</v>
      </c>
      <c r="B87" s="20" t="s">
        <v>956</v>
      </c>
      <c r="C87" s="20" t="s">
        <v>957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40.5">
      <c r="A88" s="20" t="s">
        <v>958</v>
      </c>
      <c r="B88" s="20" t="s">
        <v>959</v>
      </c>
      <c r="C88" s="20" t="s">
        <v>960</v>
      </c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40.5">
      <c r="A89" s="20" t="s">
        <v>961</v>
      </c>
      <c r="B89" s="20" t="s">
        <v>962</v>
      </c>
      <c r="C89" s="20" t="s">
        <v>963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40.5">
      <c r="A90" s="20" t="s">
        <v>964</v>
      </c>
      <c r="B90" s="20" t="s">
        <v>965</v>
      </c>
      <c r="C90" s="20" t="s">
        <v>966</v>
      </c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0.5">
      <c r="A91" s="20" t="s">
        <v>967</v>
      </c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21" t="s">
        <v>968</v>
      </c>
      <c r="B92" s="21" t="s">
        <v>969</v>
      </c>
      <c r="C92" s="21" t="s">
        <v>970</v>
      </c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70.5">
      <c r="A93" s="20" t="s">
        <v>35</v>
      </c>
      <c r="B93" s="20" t="s">
        <v>971</v>
      </c>
      <c r="C93" s="20" t="s">
        <v>972</v>
      </c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60.5">
      <c r="A94" s="20" t="s">
        <v>150</v>
      </c>
      <c r="B94" s="20" t="s">
        <v>973</v>
      </c>
      <c r="C94" s="20" t="s">
        <v>972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30.5">
      <c r="A95" s="20" t="s">
        <v>203</v>
      </c>
      <c r="B95" s="20" t="s">
        <v>974</v>
      </c>
      <c r="C95" s="20" t="s">
        <v>972</v>
      </c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40.5">
      <c r="A96" s="20" t="s">
        <v>226</v>
      </c>
      <c r="B96" s="20" t="s">
        <v>975</v>
      </c>
      <c r="C96" s="20" t="s">
        <v>972</v>
      </c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F9AE4-3ACC-4046-B664-E714AFCAE3AB}">
  <dimension ref="A1:W171"/>
  <sheetViews>
    <sheetView zoomScale="79" workbookViewId="0">
      <selection activeCell="B146" sqref="B146"/>
    </sheetView>
  </sheetViews>
  <sheetFormatPr defaultRowHeight="14.5"/>
  <cols>
    <col min="1" max="1" width="26.453125" bestFit="1" customWidth="1"/>
    <col min="2" max="4" width="15.7265625" style="2" bestFit="1" customWidth="1"/>
    <col min="5" max="5" width="20.36328125" style="65" customWidth="1"/>
    <col min="6" max="6" width="13.26953125" bestFit="1" customWidth="1"/>
    <col min="7" max="7" width="11.26953125" customWidth="1"/>
    <col min="8" max="8" width="9.7265625" bestFit="1" customWidth="1"/>
    <col min="9" max="11" width="12.08984375" customWidth="1"/>
    <col min="12" max="12" width="9.6328125" bestFit="1" customWidth="1"/>
    <col min="13" max="13" width="27.6328125" bestFit="1" customWidth="1"/>
    <col min="14" max="14" width="12" bestFit="1" customWidth="1"/>
    <col min="15" max="16" width="9.6328125" bestFit="1" customWidth="1"/>
    <col min="17" max="17" width="8" bestFit="1" customWidth="1"/>
    <col min="19" max="19" width="27.6328125" bestFit="1" customWidth="1"/>
    <col min="20" max="20" width="13" bestFit="1" customWidth="1"/>
    <col min="21" max="22" width="9.6328125" bestFit="1" customWidth="1"/>
    <col min="23" max="23" width="8" bestFit="1" customWidth="1"/>
  </cols>
  <sheetData>
    <row r="1" spans="1:9" ht="14.25" customHeight="1">
      <c r="B1"/>
      <c r="C1"/>
      <c r="D1"/>
      <c r="E1" s="50"/>
    </row>
    <row r="2" spans="1:9">
      <c r="A2" s="43" t="s">
        <v>1148</v>
      </c>
      <c r="B2"/>
      <c r="C2"/>
      <c r="D2"/>
      <c r="E2" s="50"/>
    </row>
    <row r="3" spans="1:9">
      <c r="A3" s="39"/>
      <c r="B3" s="39"/>
      <c r="C3" s="39"/>
      <c r="D3" s="39"/>
      <c r="E3" s="39"/>
    </row>
    <row r="4" spans="1:9">
      <c r="A4" s="48" t="s">
        <v>1149</v>
      </c>
      <c r="B4" s="48" t="s">
        <v>62</v>
      </c>
      <c r="C4" s="48" t="s">
        <v>57</v>
      </c>
      <c r="D4" s="48" t="s">
        <v>51</v>
      </c>
      <c r="E4" s="48" t="s">
        <v>1150</v>
      </c>
    </row>
    <row r="5" spans="1:9" ht="29">
      <c r="A5" s="48" t="s">
        <v>1166</v>
      </c>
      <c r="B5" s="62" t="s">
        <v>1167</v>
      </c>
      <c r="C5" s="63">
        <f>B45</f>
        <v>0.11204788487256079</v>
      </c>
      <c r="D5" s="63">
        <f>C45</f>
        <v>-5.7316816607426158E-2</v>
      </c>
      <c r="E5" s="62" t="s">
        <v>1180</v>
      </c>
    </row>
    <row r="6" spans="1:9">
      <c r="A6" s="48" t="s">
        <v>1168</v>
      </c>
      <c r="B6" s="61">
        <v>0.49762823978269211</v>
      </c>
      <c r="C6" s="61">
        <v>0.49432742322229728</v>
      </c>
      <c r="D6" s="61">
        <v>0.49216956674688572</v>
      </c>
      <c r="E6" s="64" t="s">
        <v>1151</v>
      </c>
      <c r="G6" s="47"/>
      <c r="H6" s="47"/>
      <c r="I6" s="47"/>
    </row>
    <row r="7" spans="1:9">
      <c r="A7" s="48" t="s">
        <v>1169</v>
      </c>
      <c r="B7" s="61">
        <v>8.3706724721052644E-2</v>
      </c>
      <c r="C7" s="61">
        <v>9.8667557038102233E-2</v>
      </c>
      <c r="D7" s="61">
        <v>8.0184147276470594E-2</v>
      </c>
      <c r="E7" s="64" t="s">
        <v>1178</v>
      </c>
      <c r="G7" s="47"/>
      <c r="H7" s="47"/>
      <c r="I7" s="47"/>
    </row>
    <row r="8" spans="1:9">
      <c r="A8" s="48" t="s">
        <v>1170</v>
      </c>
      <c r="B8" s="61">
        <v>0.33505108961450586</v>
      </c>
      <c r="C8" s="61">
        <v>0.3336056258167735</v>
      </c>
      <c r="D8" s="61">
        <v>0.34101601852781621</v>
      </c>
      <c r="E8" s="64" t="s">
        <v>1179</v>
      </c>
      <c r="G8" s="47"/>
      <c r="H8" s="47"/>
      <c r="I8" s="47"/>
    </row>
    <row r="9" spans="1:9">
      <c r="A9" s="40"/>
      <c r="B9" s="42"/>
      <c r="C9" s="42"/>
      <c r="D9" s="42"/>
      <c r="E9" s="38"/>
    </row>
    <row r="10" spans="1:9">
      <c r="A10" s="40"/>
      <c r="B10" s="42"/>
      <c r="C10" s="42"/>
      <c r="D10" s="42"/>
      <c r="E10" s="38"/>
    </row>
    <row r="11" spans="1:9">
      <c r="A11" s="40"/>
      <c r="B11" s="42"/>
      <c r="C11" s="42"/>
      <c r="D11" s="42"/>
      <c r="E11" s="38"/>
    </row>
    <row r="12" spans="1:9">
      <c r="A12" s="40"/>
      <c r="B12" s="42"/>
      <c r="C12" s="42"/>
      <c r="D12" s="42"/>
      <c r="E12" s="38"/>
    </row>
    <row r="13" spans="1:9">
      <c r="A13" s="40"/>
      <c r="B13" s="42"/>
      <c r="C13" s="42"/>
      <c r="D13" s="42"/>
      <c r="E13" s="38"/>
    </row>
    <row r="14" spans="1:9">
      <c r="A14" s="40"/>
      <c r="B14" s="42"/>
      <c r="C14" s="42"/>
      <c r="D14" s="42"/>
      <c r="E14" s="38"/>
    </row>
    <row r="15" spans="1:9">
      <c r="A15" s="43" t="s">
        <v>1152</v>
      </c>
      <c r="B15"/>
      <c r="C15"/>
      <c r="D15"/>
      <c r="E15" s="50"/>
    </row>
    <row r="16" spans="1:9">
      <c r="B16"/>
      <c r="C16"/>
      <c r="D16"/>
      <c r="E16" s="50"/>
    </row>
    <row r="17" spans="1:23">
      <c r="B17"/>
      <c r="C17"/>
      <c r="D17"/>
      <c r="E17" s="50"/>
    </row>
    <row r="18" spans="1:23">
      <c r="A18" s="51" t="s">
        <v>1171</v>
      </c>
      <c r="B18" s="51" t="s">
        <v>1160</v>
      </c>
      <c r="C18" s="51" t="s">
        <v>1161</v>
      </c>
      <c r="D18" s="52" t="s">
        <v>1172</v>
      </c>
      <c r="E18" s="52" t="s">
        <v>1164</v>
      </c>
      <c r="K18" s="2"/>
      <c r="L18" s="2"/>
      <c r="M18" s="2"/>
    </row>
    <row r="19" spans="1:23">
      <c r="A19" s="53" t="s">
        <v>930</v>
      </c>
      <c r="B19" s="54">
        <v>0.13583295913785354</v>
      </c>
      <c r="C19" s="54">
        <v>0.13262078897579976</v>
      </c>
      <c r="D19" s="55">
        <v>80219000</v>
      </c>
      <c r="E19" s="53" t="str">
        <f>VLOOKUP(A19,'brand list'!$G$1:$H$29,2,0)</f>
        <v>中国公司</v>
      </c>
      <c r="K19" s="2"/>
      <c r="L19" s="2"/>
      <c r="M19" s="2"/>
    </row>
    <row r="20" spans="1:23">
      <c r="A20" s="53" t="s">
        <v>245</v>
      </c>
      <c r="B20" s="54">
        <v>4.0976821192052926E-2</v>
      </c>
      <c r="C20" s="54">
        <v>-0.12710404241219353</v>
      </c>
      <c r="D20" s="55">
        <v>47419200</v>
      </c>
      <c r="E20" s="53" t="str">
        <f>VLOOKUP(A20,'brand list'!$G$1:$H$29,2,0)</f>
        <v>大中华区</v>
      </c>
      <c r="L20" s="2"/>
      <c r="M20" s="2"/>
    </row>
    <row r="21" spans="1:23">
      <c r="A21" s="53" t="s">
        <v>979</v>
      </c>
      <c r="B21" s="54">
        <v>-9.1743119266054496E-3</v>
      </c>
      <c r="C21" s="54">
        <v>-2.5673400673400626E-2</v>
      </c>
      <c r="D21" s="55">
        <v>36114000</v>
      </c>
      <c r="E21" s="53" t="str">
        <f>VLOOKUP(A21,'brand list'!$G$1:$H$29,2,0)</f>
        <v>亚太/其他地区</v>
      </c>
    </row>
    <row r="22" spans="1:23">
      <c r="A22" s="53" t="s">
        <v>935</v>
      </c>
      <c r="B22" s="54">
        <v>3.9060801507355691E-2</v>
      </c>
      <c r="C22" s="54">
        <v>3.2152322499651387E-2</v>
      </c>
      <c r="D22" s="55">
        <v>29598000</v>
      </c>
      <c r="E22" s="53" t="str">
        <f>VLOOKUP(A22,'brand list'!$G$1:$H$29,2,0)</f>
        <v>中国公司</v>
      </c>
    </row>
    <row r="23" spans="1:23">
      <c r="A23" s="53" t="s">
        <v>929</v>
      </c>
      <c r="B23" s="54">
        <v>6.8702628429590851E-2</v>
      </c>
      <c r="C23" s="54">
        <v>-6.6370121521297287E-2</v>
      </c>
      <c r="D23" s="55">
        <v>27012900</v>
      </c>
      <c r="E23" s="53" t="str">
        <f>VLOOKUP(A23,'brand list'!$G$1:$H$29,2,0)</f>
        <v>中国公司</v>
      </c>
    </row>
    <row r="24" spans="1:23">
      <c r="A24" s="53" t="s">
        <v>932</v>
      </c>
      <c r="B24" s="54">
        <v>8.4326018808777325E-2</v>
      </c>
      <c r="C24" s="54">
        <v>4.7412546978895742E-2</v>
      </c>
      <c r="D24" s="55">
        <v>28259400</v>
      </c>
      <c r="E24" s="53" t="str">
        <f>VLOOKUP(A24,'brand list'!$G$1:$H$29,2,0)</f>
        <v>大中华区</v>
      </c>
      <c r="O24" s="2"/>
      <c r="P24" s="2"/>
      <c r="Q24" s="2"/>
      <c r="U24" s="2"/>
      <c r="V24" s="2"/>
      <c r="W24" s="2"/>
    </row>
    <row r="25" spans="1:23">
      <c r="A25" s="53" t="s">
        <v>936</v>
      </c>
      <c r="B25" s="54">
        <v>6.5471752897692026E-2</v>
      </c>
      <c r="C25" s="54">
        <v>4.2269392805585726E-2</v>
      </c>
      <c r="D25" s="55">
        <v>14151100</v>
      </c>
      <c r="E25" s="53" t="str">
        <f>VLOOKUP(A25,'brand list'!$G$1:$H$29,2,0)</f>
        <v>中国公司</v>
      </c>
      <c r="O25" s="2"/>
      <c r="P25" s="2"/>
      <c r="Q25" s="2"/>
      <c r="U25" s="2"/>
      <c r="V25" s="2"/>
      <c r="W25" s="2"/>
    </row>
    <row r="26" spans="1:23">
      <c r="A26" s="53" t="s">
        <v>144</v>
      </c>
      <c r="B26" s="54">
        <v>1.3854128660038212E-2</v>
      </c>
      <c r="C26" s="54">
        <v>-1.3714719495608763E-2</v>
      </c>
      <c r="D26" s="55">
        <v>10102989.6</v>
      </c>
      <c r="E26" s="53" t="str">
        <f>VLOOKUP(A26,'brand list'!$G$1:$H$29,2,0)</f>
        <v>亚太区</v>
      </c>
      <c r="N26" s="2"/>
      <c r="O26" s="2"/>
      <c r="P26" s="2"/>
      <c r="Q26" s="2"/>
      <c r="T26" s="2"/>
      <c r="U26" s="2"/>
      <c r="V26" s="2"/>
      <c r="W26" s="2"/>
    </row>
    <row r="27" spans="1:23">
      <c r="A27" s="53" t="s">
        <v>913</v>
      </c>
      <c r="B27" s="54">
        <v>0.19591625899577791</v>
      </c>
      <c r="C27" s="54">
        <v>0.10644939053021241</v>
      </c>
      <c r="D27" s="55">
        <v>11145829</v>
      </c>
      <c r="E27" s="53" t="str">
        <f>VLOOKUP(A27,'brand list'!$G$1:$H$29,2,0)</f>
        <v>中国公司</v>
      </c>
    </row>
    <row r="28" spans="1:23">
      <c r="A28" s="53" t="s">
        <v>910</v>
      </c>
      <c r="B28" s="54">
        <v>0.41252697767078939</v>
      </c>
      <c r="C28" s="54">
        <v>0.28902615590408542</v>
      </c>
      <c r="D28" s="55">
        <v>12634552.800000001</v>
      </c>
      <c r="E28" s="53" t="str">
        <f>VLOOKUP(A28,'brand list'!$G$1:$H$29,2,0)</f>
        <v>中国内地</v>
      </c>
    </row>
    <row r="29" spans="1:23">
      <c r="A29" s="53" t="s">
        <v>449</v>
      </c>
      <c r="B29" s="54">
        <v>0.53657670454545459</v>
      </c>
      <c r="C29" s="54">
        <v>0.43432709344426468</v>
      </c>
      <c r="D29" s="55">
        <v>13405680</v>
      </c>
      <c r="E29" s="53" t="str">
        <f>VLOOKUP(A29,'brand list'!$G$1:$H$29,2,0)</f>
        <v>大中华区</v>
      </c>
    </row>
    <row r="30" spans="1:23">
      <c r="A30" s="53" t="s">
        <v>129</v>
      </c>
      <c r="B30" s="54">
        <v>-8.5005249749720013E-3</v>
      </c>
      <c r="C30" s="54"/>
      <c r="D30" s="55"/>
      <c r="E30" s="53" t="str">
        <f>VLOOKUP(A30,'brand list'!$G$1:$H$29,2,0)</f>
        <v>中国内地</v>
      </c>
    </row>
    <row r="31" spans="1:23">
      <c r="A31" s="53" t="s">
        <v>147</v>
      </c>
      <c r="B31" s="54">
        <v>7.4583513615814612E-2</v>
      </c>
      <c r="C31" s="54">
        <v>-0.37084726944058288</v>
      </c>
      <c r="D31" s="55">
        <v>4478649.47</v>
      </c>
      <c r="E31" s="53" t="str">
        <f>VLOOKUP(A31,'brand list'!$G$1:$H$29,2,0)</f>
        <v>亚太区</v>
      </c>
    </row>
    <row r="32" spans="1:23">
      <c r="A32" s="53" t="s">
        <v>164</v>
      </c>
      <c r="B32" s="54">
        <v>5.7771482713748767E-2</v>
      </c>
      <c r="C32" s="54">
        <v>-0.13468435394876854</v>
      </c>
      <c r="D32" s="55">
        <v>5439146.4000000004</v>
      </c>
      <c r="E32" s="53" t="str">
        <f>VLOOKUP(A32,'brand list'!$G$1:$H$29,2,0)</f>
        <v>亚太区</v>
      </c>
    </row>
    <row r="33" spans="1:5">
      <c r="A33" s="53" t="s">
        <v>938</v>
      </c>
      <c r="B33" s="54">
        <v>3.7444177258673994E-2</v>
      </c>
      <c r="C33" s="54">
        <v>-0.19139072847682115</v>
      </c>
      <c r="D33" s="55">
        <v>3809520</v>
      </c>
      <c r="E33" s="53" t="str">
        <f>VLOOKUP(A33,'brand list'!$G$1:$H$29,2,0)</f>
        <v>大中华区</v>
      </c>
    </row>
    <row r="34" spans="1:5">
      <c r="A34" s="53" t="s">
        <v>912</v>
      </c>
      <c r="B34" s="54">
        <v>7.8280769230769209E-2</v>
      </c>
      <c r="C34" s="54">
        <v>8.9963367611546774E-2</v>
      </c>
      <c r="D34" s="55">
        <v>4400272.8</v>
      </c>
      <c r="E34" s="53" t="str">
        <f>VLOOKUP(A34,'brand list'!$G$1:$H$29,2,0)</f>
        <v>亚太区</v>
      </c>
    </row>
    <row r="35" spans="1:5">
      <c r="A35" s="53" t="s">
        <v>918</v>
      </c>
      <c r="B35" s="54">
        <v>0.13244146752349506</v>
      </c>
      <c r="C35" s="54">
        <v>7.7275681975780941E-2</v>
      </c>
      <c r="D35" s="55">
        <v>4313910.9539999999</v>
      </c>
      <c r="E35" s="53" t="str">
        <f>VLOOKUP(A35,'brand list'!$G$1:$H$29,2,0)</f>
        <v>中国公司</v>
      </c>
    </row>
    <row r="36" spans="1:5">
      <c r="A36" s="53" t="s">
        <v>589</v>
      </c>
      <c r="B36" s="54">
        <v>0.30494781843329566</v>
      </c>
      <c r="C36" s="54">
        <v>0.19421626960229332</v>
      </c>
      <c r="D36" s="55">
        <v>3932816</v>
      </c>
      <c r="E36" s="53" t="str">
        <f>VLOOKUP(A36,'brand list'!$G$1:$H$29,2,0)</f>
        <v>中国内地</v>
      </c>
    </row>
    <row r="37" spans="1:5">
      <c r="A37" s="53" t="s">
        <v>922</v>
      </c>
      <c r="B37" s="54">
        <v>-8.3286332017296516E-2</v>
      </c>
      <c r="C37" s="54">
        <v>-0.25533223954060702</v>
      </c>
      <c r="D37" s="55">
        <v>2614320</v>
      </c>
      <c r="E37" s="53" t="str">
        <f>VLOOKUP(A37,'brand list'!$G$1:$H$29,2,0)</f>
        <v>亚太区</v>
      </c>
    </row>
    <row r="38" spans="1:5">
      <c r="A38" s="53" t="s">
        <v>920</v>
      </c>
      <c r="B38" s="54">
        <v>1.0184746565608638E-2</v>
      </c>
      <c r="C38" s="54">
        <v>0.16834701055099655</v>
      </c>
      <c r="D38" s="55">
        <v>2740650</v>
      </c>
      <c r="E38" s="53" t="str">
        <f>VLOOKUP(A38,'brand list'!$G$1:$H$29,2,0)</f>
        <v>大中华区</v>
      </c>
    </row>
    <row r="39" spans="1:5">
      <c r="A39" s="53" t="s">
        <v>1079</v>
      </c>
      <c r="B39" s="54">
        <v>0.84408221119773219</v>
      </c>
      <c r="C39" s="54">
        <v>0.96425826287471184</v>
      </c>
      <c r="D39" s="55">
        <v>4139910</v>
      </c>
      <c r="E39" s="53" t="str">
        <f>VLOOKUP(A39,'brand list'!$G$1:$H$29,2,0)</f>
        <v>亚太区</v>
      </c>
    </row>
    <row r="40" spans="1:5">
      <c r="A40" s="53" t="s">
        <v>1156</v>
      </c>
      <c r="B40" s="54">
        <v>0.94482986455236206</v>
      </c>
      <c r="C40" s="54">
        <v>0.58145065398335305</v>
      </c>
      <c r="D40" s="55">
        <v>2793000</v>
      </c>
      <c r="E40" s="53" t="str">
        <f>VLOOKUP(A40,'brand list'!$G$1:$H$29,2,0)</f>
        <v>大中华区</v>
      </c>
    </row>
    <row r="41" spans="1:5">
      <c r="A41" s="53" t="s">
        <v>919</v>
      </c>
      <c r="B41" s="54">
        <v>0.15493153059455711</v>
      </c>
      <c r="C41" s="54">
        <v>6.1145464369334324E-2</v>
      </c>
      <c r="D41" s="55">
        <v>1696848</v>
      </c>
      <c r="E41" s="53" t="str">
        <f>VLOOKUP(A41,'brand list'!$G$1:$H$29,2,0)</f>
        <v>亚太区</v>
      </c>
    </row>
    <row r="42" spans="1:5">
      <c r="A42" s="53" t="s">
        <v>916</v>
      </c>
      <c r="B42" s="54">
        <v>0.14444316477120256</v>
      </c>
      <c r="C42" s="54">
        <v>-0.13249427658678936</v>
      </c>
      <c r="D42" s="55">
        <v>1380713.0959999999</v>
      </c>
      <c r="E42" s="53" t="str">
        <f>VLOOKUP(A42,'brand list'!$G$1:$H$29,2,0)</f>
        <v>中国公司</v>
      </c>
    </row>
    <row r="43" spans="1:5">
      <c r="A43" s="53" t="s">
        <v>917</v>
      </c>
      <c r="B43" s="54"/>
      <c r="C43" s="54">
        <v>3.6087055995750239E-2</v>
      </c>
      <c r="D43" s="55">
        <v>787967</v>
      </c>
      <c r="E43" s="53" t="str">
        <f>VLOOKUP(A43,'brand list'!$G$1:$H$29,2,0)</f>
        <v>中国内地</v>
      </c>
    </row>
    <row r="44" spans="1:5">
      <c r="A44" s="53" t="s">
        <v>977</v>
      </c>
      <c r="B44" s="54">
        <v>9.1583360206385134E-2</v>
      </c>
      <c r="C44" s="54">
        <v>-3.9586410635155111E-2</v>
      </c>
      <c r="D44" s="7">
        <v>31158400</v>
      </c>
      <c r="E44" s="53" t="str">
        <f>VLOOKUP(A44,'brand list'!$G$1:$H$29,2,0)</f>
        <v>大中华区</v>
      </c>
    </row>
    <row r="45" spans="1:5">
      <c r="A45" s="51" t="s">
        <v>621</v>
      </c>
      <c r="B45" s="56">
        <v>0.11204788487256079</v>
      </c>
      <c r="C45" s="56">
        <v>-5.7316816607426158E-2</v>
      </c>
      <c r="D45" s="52">
        <v>13979069.428800004</v>
      </c>
      <c r="E45" s="52"/>
    </row>
    <row r="47" spans="1:5">
      <c r="A47" s="49" t="s">
        <v>1173</v>
      </c>
    </row>
    <row r="49" spans="1:5">
      <c r="A49" s="53" t="s">
        <v>1171</v>
      </c>
      <c r="B49" s="58">
        <v>2023</v>
      </c>
      <c r="C49" s="58">
        <v>2024</v>
      </c>
      <c r="D49" s="58">
        <v>2025</v>
      </c>
      <c r="E49" s="52" t="s">
        <v>1164</v>
      </c>
    </row>
    <row r="50" spans="1:5">
      <c r="A50" s="53" t="s">
        <v>918</v>
      </c>
      <c r="B50" s="59">
        <v>77.5</v>
      </c>
      <c r="C50" s="59">
        <v>76.290000000000006</v>
      </c>
      <c r="D50" s="59">
        <v>75.349999999999994</v>
      </c>
      <c r="E50" s="53" t="str">
        <f>VLOOKUP(A50,'brand list'!$G$1:$H$29,2,0)</f>
        <v>中国公司</v>
      </c>
    </row>
    <row r="51" spans="1:5">
      <c r="A51" s="53" t="s">
        <v>1079</v>
      </c>
      <c r="B51" s="59">
        <v>59.55</v>
      </c>
      <c r="C51" s="59">
        <v>60.63</v>
      </c>
      <c r="D51" s="59">
        <v>62.82</v>
      </c>
      <c r="E51" s="53" t="s">
        <v>1174</v>
      </c>
    </row>
    <row r="52" spans="1:5">
      <c r="A52" s="53" t="s">
        <v>930</v>
      </c>
      <c r="B52" s="59">
        <v>62.6</v>
      </c>
      <c r="C52" s="59">
        <v>62.2</v>
      </c>
      <c r="D52" s="59">
        <v>62</v>
      </c>
      <c r="E52" s="53" t="str">
        <f>VLOOKUP(A52,'brand list'!$G$1:$H$29,2,0)</f>
        <v>中国公司</v>
      </c>
    </row>
    <row r="53" spans="1:5">
      <c r="A53" s="53" t="s">
        <v>979</v>
      </c>
      <c r="B53" s="59">
        <v>57.757253730000002</v>
      </c>
      <c r="C53" s="59">
        <v>57.835473180000001</v>
      </c>
      <c r="D53" s="59">
        <v>58.253060410000003</v>
      </c>
      <c r="E53" s="53" t="s">
        <v>1174</v>
      </c>
    </row>
    <row r="54" spans="1:5">
      <c r="A54" s="53" t="s">
        <v>449</v>
      </c>
      <c r="B54" s="59">
        <v>52.452049813653311</v>
      </c>
      <c r="C54" s="59">
        <v>55.404857909054087</v>
      </c>
      <c r="D54" s="59">
        <v>57.633029758459998</v>
      </c>
      <c r="E54" s="53" t="s">
        <v>1174</v>
      </c>
    </row>
    <row r="55" spans="1:5">
      <c r="A55" s="53" t="s">
        <v>589</v>
      </c>
      <c r="B55" s="59">
        <v>52</v>
      </c>
      <c r="C55" s="59">
        <v>55.83</v>
      </c>
      <c r="D55" s="59">
        <v>56.8</v>
      </c>
      <c r="E55" s="53" t="s">
        <v>1174</v>
      </c>
    </row>
    <row r="56" spans="1:5">
      <c r="A56" s="53" t="s">
        <v>910</v>
      </c>
      <c r="B56" s="59">
        <v>58.3</v>
      </c>
      <c r="C56" s="59">
        <v>59.2</v>
      </c>
      <c r="D56" s="59">
        <v>56.6</v>
      </c>
      <c r="E56" s="53" t="s">
        <v>1174</v>
      </c>
    </row>
    <row r="57" spans="1:5">
      <c r="A57" s="53" t="s">
        <v>144</v>
      </c>
      <c r="B57" s="59">
        <v>51.6</v>
      </c>
      <c r="C57" s="59">
        <v>53.5</v>
      </c>
      <c r="D57" s="59">
        <v>54.8</v>
      </c>
      <c r="E57" s="53" t="s">
        <v>1174</v>
      </c>
    </row>
    <row r="58" spans="1:5">
      <c r="A58" s="53" t="s">
        <v>932</v>
      </c>
      <c r="B58" s="59">
        <v>48.7</v>
      </c>
      <c r="C58" s="59">
        <v>49.6</v>
      </c>
      <c r="D58" s="59">
        <v>52.6</v>
      </c>
      <c r="E58" s="53" t="str">
        <f>VLOOKUP(A58,'brand list'!$G$1:$H$29,2,0)</f>
        <v>大中华区</v>
      </c>
    </row>
    <row r="59" spans="1:5">
      <c r="A59" s="53" t="s">
        <v>912</v>
      </c>
      <c r="B59" s="59">
        <v>49.5</v>
      </c>
      <c r="C59" s="59">
        <v>50</v>
      </c>
      <c r="D59" s="59">
        <v>50.2</v>
      </c>
      <c r="E59" s="53" t="s">
        <v>1174</v>
      </c>
    </row>
    <row r="60" spans="1:5">
      <c r="A60" s="53" t="s">
        <v>935</v>
      </c>
      <c r="B60" s="59">
        <v>48.4</v>
      </c>
      <c r="C60" s="59">
        <v>49.4</v>
      </c>
      <c r="D60" s="59">
        <v>49</v>
      </c>
      <c r="E60" s="53" t="str">
        <f>VLOOKUP(A60,'brand list'!$G$1:$H$29,2,0)</f>
        <v>中国公司</v>
      </c>
    </row>
    <row r="61" spans="1:5">
      <c r="A61" s="53" t="s">
        <v>164</v>
      </c>
      <c r="B61" s="59">
        <v>45.5</v>
      </c>
      <c r="C61" s="59">
        <v>46.1</v>
      </c>
      <c r="D61" s="59">
        <v>47.9</v>
      </c>
      <c r="E61" s="53" t="s">
        <v>1174</v>
      </c>
    </row>
    <row r="62" spans="1:5">
      <c r="A62" s="53" t="s">
        <v>916</v>
      </c>
      <c r="B62" s="59">
        <v>44.1</v>
      </c>
      <c r="C62" s="59">
        <v>44.67</v>
      </c>
      <c r="D62" s="59">
        <v>47.57</v>
      </c>
      <c r="E62" s="53" t="str">
        <f>VLOOKUP(A62,'brand list'!$G$1:$H$29,2,0)</f>
        <v>中国公司</v>
      </c>
    </row>
    <row r="63" spans="1:5">
      <c r="A63" s="53" t="s">
        <v>245</v>
      </c>
      <c r="B63" s="59">
        <v>51</v>
      </c>
      <c r="C63" s="59">
        <v>50.2</v>
      </c>
      <c r="D63" s="59">
        <v>46</v>
      </c>
      <c r="E63" s="53" t="str">
        <f>VLOOKUP(A63,'brand list'!$G$1:$H$29,2,0)</f>
        <v>大中华区</v>
      </c>
    </row>
    <row r="64" spans="1:5">
      <c r="A64" s="53" t="s">
        <v>938</v>
      </c>
      <c r="B64" s="59">
        <v>47</v>
      </c>
      <c r="C64" s="59">
        <v>47.6</v>
      </c>
      <c r="D64" s="59">
        <v>45</v>
      </c>
      <c r="E64" s="53" t="s">
        <v>1174</v>
      </c>
    </row>
    <row r="65" spans="1:5">
      <c r="A65" s="53" t="s">
        <v>936</v>
      </c>
      <c r="B65" s="59">
        <v>41.8</v>
      </c>
      <c r="C65" s="59">
        <v>43.2</v>
      </c>
      <c r="D65" s="59">
        <v>42.8</v>
      </c>
      <c r="E65" s="53" t="str">
        <f>VLOOKUP(A65,'brand list'!$G$1:$H$29,2,0)</f>
        <v>中国公司</v>
      </c>
    </row>
    <row r="66" spans="1:5">
      <c r="A66" s="53" t="s">
        <v>919</v>
      </c>
      <c r="B66" s="59">
        <v>40.5</v>
      </c>
      <c r="C66" s="59">
        <v>41.8</v>
      </c>
      <c r="D66" s="59">
        <v>41.9</v>
      </c>
      <c r="E66" s="53" t="s">
        <v>1174</v>
      </c>
    </row>
    <row r="67" spans="1:5">
      <c r="A67" s="53" t="s">
        <v>913</v>
      </c>
      <c r="B67" s="59">
        <v>41.1</v>
      </c>
      <c r="C67" s="59">
        <v>41.5</v>
      </c>
      <c r="D67" s="59">
        <v>41.5</v>
      </c>
      <c r="E67" s="53" t="str">
        <f>VLOOKUP(A67,'brand list'!$G$1:$H$29,2,0)</f>
        <v>中国公司</v>
      </c>
    </row>
    <row r="68" spans="1:5">
      <c r="A68" s="53" t="s">
        <v>929</v>
      </c>
      <c r="B68" s="59">
        <v>41.7</v>
      </c>
      <c r="C68" s="59">
        <v>41.8</v>
      </c>
      <c r="D68" s="59">
        <v>38.4</v>
      </c>
      <c r="E68" s="53" t="str">
        <f>VLOOKUP(A68,'brand list'!$G$1:$H$29,2,0)</f>
        <v>中国公司</v>
      </c>
    </row>
    <row r="69" spans="1:5">
      <c r="A69" s="53" t="s">
        <v>917</v>
      </c>
      <c r="B69" s="59"/>
      <c r="C69" s="59">
        <v>28.57</v>
      </c>
      <c r="D69" s="59">
        <v>26.62</v>
      </c>
      <c r="E69" s="53" t="str">
        <f>VLOOKUP(A69,'brand list'!$G$1:$H$29,2,0)</f>
        <v>中国内地</v>
      </c>
    </row>
    <row r="70" spans="1:5">
      <c r="A70" s="53" t="s">
        <v>147</v>
      </c>
      <c r="B70" s="59">
        <v>22.06</v>
      </c>
      <c r="C70" s="59">
        <v>18.989999999999998</v>
      </c>
      <c r="D70" s="59">
        <v>19.809999999999999</v>
      </c>
      <c r="E70" s="53" t="s">
        <v>1174</v>
      </c>
    </row>
    <row r="71" spans="1:5">
      <c r="A71" s="53" t="s">
        <v>129</v>
      </c>
      <c r="B71" s="59">
        <v>51.9</v>
      </c>
      <c r="C71" s="59">
        <v>53.2</v>
      </c>
      <c r="D71" s="59"/>
      <c r="E71" s="53" t="s">
        <v>1174</v>
      </c>
    </row>
    <row r="72" spans="1:5">
      <c r="A72" s="53" t="s">
        <v>1176</v>
      </c>
      <c r="B72" s="59">
        <f>AVERAGE(B50:B71)</f>
        <v>49.762823978269211</v>
      </c>
      <c r="C72" s="59">
        <f t="shared" ref="C72:D72" si="0">AVERAGE(C50:C71)</f>
        <v>49.432742322229728</v>
      </c>
      <c r="D72" s="59">
        <f t="shared" si="0"/>
        <v>49.216956674688575</v>
      </c>
      <c r="E72" s="53"/>
    </row>
    <row r="74" spans="1:5">
      <c r="A74" s="49" t="s">
        <v>1175</v>
      </c>
    </row>
    <row r="76" spans="1:5">
      <c r="A76" s="53" t="s">
        <v>1171</v>
      </c>
      <c r="B76" s="58">
        <v>2023</v>
      </c>
      <c r="C76" s="58">
        <v>2024</v>
      </c>
      <c r="D76" s="58">
        <v>2025</v>
      </c>
      <c r="E76" s="52" t="s">
        <v>1164</v>
      </c>
    </row>
    <row r="77" spans="1:5">
      <c r="A77" s="53" t="s">
        <v>930</v>
      </c>
      <c r="B77" s="59">
        <v>16.420000000000002</v>
      </c>
      <c r="C77" s="59">
        <v>24</v>
      </c>
      <c r="D77" s="59">
        <v>19.5</v>
      </c>
      <c r="E77" s="53" t="str">
        <f>VLOOKUP(A77,'brand list'!$G$1:$H$29,2,0)</f>
        <v>中国公司</v>
      </c>
    </row>
    <row r="78" spans="1:5">
      <c r="A78" s="53" t="s">
        <v>245</v>
      </c>
      <c r="B78" s="59">
        <v>23.6</v>
      </c>
      <c r="C78" s="59">
        <v>23</v>
      </c>
      <c r="D78" s="59">
        <v>18.2</v>
      </c>
      <c r="E78" s="53" t="str">
        <f>VLOOKUP(A78,'brand list'!$G$1:$H$29,2,0)</f>
        <v>大中华区</v>
      </c>
    </row>
    <row r="79" spans="1:5">
      <c r="A79" s="53" t="s">
        <v>979</v>
      </c>
      <c r="B79" s="59">
        <v>15.21277697</v>
      </c>
      <c r="C79" s="59">
        <v>15.21277697</v>
      </c>
      <c r="D79" s="59">
        <v>15.60305037</v>
      </c>
      <c r="E79" s="53" t="s">
        <v>1174</v>
      </c>
    </row>
    <row r="80" spans="1:5">
      <c r="A80" s="53" t="s">
        <v>910</v>
      </c>
      <c r="B80" s="59">
        <v>16.100000000000001</v>
      </c>
      <c r="C80" s="59">
        <v>17.100000000000001</v>
      </c>
      <c r="D80" s="59">
        <v>14.2</v>
      </c>
      <c r="E80" s="53" t="s">
        <v>1174</v>
      </c>
    </row>
    <row r="81" spans="1:5">
      <c r="A81" s="53" t="s">
        <v>918</v>
      </c>
      <c r="B81" s="59">
        <v>25.75</v>
      </c>
      <c r="C81" s="59">
        <v>19.5</v>
      </c>
      <c r="D81" s="59">
        <v>12.77</v>
      </c>
      <c r="E81" s="53" t="str">
        <f>VLOOKUP(A81,'brand list'!$G$1:$H$29,2,0)</f>
        <v>中国公司</v>
      </c>
    </row>
    <row r="82" spans="1:5">
      <c r="A82" s="53" t="s">
        <v>913</v>
      </c>
      <c r="B82" s="59">
        <v>11.4</v>
      </c>
      <c r="C82" s="59">
        <v>11.4</v>
      </c>
      <c r="D82" s="59">
        <v>11.7</v>
      </c>
      <c r="E82" s="53" t="str">
        <f>VLOOKUP(A82,'brand list'!$G$1:$H$29,2,0)</f>
        <v>中国公司</v>
      </c>
    </row>
    <row r="83" spans="1:5">
      <c r="A83" s="53" t="s">
        <v>935</v>
      </c>
      <c r="B83" s="59">
        <v>8.6</v>
      </c>
      <c r="C83" s="59">
        <v>8.8000000000000007</v>
      </c>
      <c r="D83" s="59">
        <v>9.9</v>
      </c>
      <c r="E83" s="53" t="str">
        <f>VLOOKUP(A83,'brand list'!$G$1:$H$29,2,0)</f>
        <v>中国公司</v>
      </c>
    </row>
    <row r="84" spans="1:5">
      <c r="A84" s="53" t="s">
        <v>936</v>
      </c>
      <c r="B84" s="59">
        <v>8.1</v>
      </c>
      <c r="C84" s="59">
        <v>9.1</v>
      </c>
      <c r="D84" s="59">
        <v>9.6999999999999993</v>
      </c>
      <c r="E84" s="53" t="str">
        <f>VLOOKUP(A84,'brand list'!$G$1:$H$29,2,0)</f>
        <v>中国公司</v>
      </c>
    </row>
    <row r="85" spans="1:5">
      <c r="A85" s="53" t="s">
        <v>1079</v>
      </c>
      <c r="B85" s="59">
        <v>4.4400000000000004</v>
      </c>
      <c r="C85" s="59">
        <v>10.45</v>
      </c>
      <c r="D85" s="59">
        <v>6.76</v>
      </c>
      <c r="E85" s="53" t="s">
        <v>1174</v>
      </c>
    </row>
    <row r="86" spans="1:5">
      <c r="A86" s="53" t="s">
        <v>449</v>
      </c>
      <c r="B86" s="59">
        <v>-4.7</v>
      </c>
      <c r="C86" s="59">
        <v>1.5</v>
      </c>
      <c r="D86" s="59">
        <v>6.7</v>
      </c>
      <c r="E86" s="53" t="s">
        <v>1174</v>
      </c>
    </row>
    <row r="87" spans="1:5">
      <c r="A87" s="53" t="s">
        <v>916</v>
      </c>
      <c r="B87" s="59">
        <v>5.16</v>
      </c>
      <c r="C87" s="59">
        <v>6.7</v>
      </c>
      <c r="D87" s="59">
        <v>5.72</v>
      </c>
      <c r="E87" s="53" t="str">
        <f>VLOOKUP(A87,'brand list'!$G$1:$H$29,2,0)</f>
        <v>中国公司</v>
      </c>
    </row>
    <row r="88" spans="1:5">
      <c r="A88" s="53" t="s">
        <v>929</v>
      </c>
      <c r="B88" s="59">
        <v>6.8</v>
      </c>
      <c r="C88" s="59">
        <v>7.6</v>
      </c>
      <c r="D88" s="59">
        <v>4.8</v>
      </c>
      <c r="E88" s="53" t="str">
        <f>VLOOKUP(A88,'brand list'!$G$1:$H$29,2,0)</f>
        <v>中国公司</v>
      </c>
    </row>
    <row r="89" spans="1:5">
      <c r="A89" s="53" t="s">
        <v>912</v>
      </c>
      <c r="B89" s="59">
        <v>3.2</v>
      </c>
      <c r="C89" s="59">
        <v>3.6</v>
      </c>
      <c r="D89" s="59">
        <v>3.9</v>
      </c>
      <c r="E89" s="53" t="s">
        <v>1174</v>
      </c>
    </row>
    <row r="90" spans="1:5">
      <c r="A90" s="53" t="s">
        <v>144</v>
      </c>
      <c r="B90" s="59">
        <v>-9.8000000000000007</v>
      </c>
      <c r="C90" s="59">
        <v>-2</v>
      </c>
      <c r="D90" s="59">
        <v>2.7</v>
      </c>
      <c r="E90" s="53" t="s">
        <v>1174</v>
      </c>
    </row>
    <row r="91" spans="1:5">
      <c r="A91" s="53" t="s">
        <v>147</v>
      </c>
      <c r="B91" s="59">
        <v>4.63</v>
      </c>
      <c r="C91" s="59">
        <v>2.08</v>
      </c>
      <c r="D91" s="59">
        <v>1.44</v>
      </c>
      <c r="E91" s="53" t="s">
        <v>1174</v>
      </c>
    </row>
    <row r="92" spans="1:5">
      <c r="A92" s="53" t="s">
        <v>917</v>
      </c>
      <c r="B92" s="59">
        <v>7.33</v>
      </c>
      <c r="C92" s="59">
        <v>6.42</v>
      </c>
      <c r="D92" s="59">
        <v>-3.38</v>
      </c>
      <c r="E92" s="53" t="s">
        <v>1174</v>
      </c>
    </row>
    <row r="93" spans="1:5">
      <c r="A93" s="53" t="s">
        <v>164</v>
      </c>
      <c r="B93" s="59">
        <v>3.8</v>
      </c>
      <c r="C93" s="59">
        <v>4.0999999999999996</v>
      </c>
      <c r="D93" s="59">
        <v>-3.9</v>
      </c>
      <c r="E93" s="53" t="s">
        <v>1174</v>
      </c>
    </row>
    <row r="94" spans="1:5">
      <c r="A94" s="53" t="s">
        <v>589</v>
      </c>
      <c r="B94" s="59">
        <v>6.2</v>
      </c>
      <c r="C94" s="59">
        <v>10.805581402394285</v>
      </c>
      <c r="D94" s="59"/>
      <c r="E94" s="53" t="str">
        <f>VLOOKUP(A94,'brand list'!$G$1:$H$29,2,0)</f>
        <v>中国内地</v>
      </c>
    </row>
    <row r="95" spans="1:5">
      <c r="A95" s="53" t="s">
        <v>129</v>
      </c>
      <c r="B95" s="59">
        <v>6.8</v>
      </c>
      <c r="C95" s="59">
        <v>8.1</v>
      </c>
      <c r="D95" s="59"/>
      <c r="E95" s="53" t="s">
        <v>1174</v>
      </c>
    </row>
    <row r="96" spans="1:5">
      <c r="A96" s="53" t="s">
        <v>1176</v>
      </c>
      <c r="B96" s="59">
        <f>AVERAGE(B77:B95)</f>
        <v>8.3706724721052641</v>
      </c>
      <c r="C96" s="59">
        <f t="shared" ref="C96:D96" si="1">AVERAGE(C77:C95)</f>
        <v>9.8667557038102238</v>
      </c>
      <c r="D96" s="59">
        <f t="shared" si="1"/>
        <v>8.018414727647059</v>
      </c>
      <c r="E96" s="53"/>
    </row>
    <row r="99" spans="1:10">
      <c r="A99" s="60" t="s">
        <v>1177</v>
      </c>
    </row>
    <row r="101" spans="1:10">
      <c r="A101" s="53" t="s">
        <v>1171</v>
      </c>
      <c r="B101" s="58">
        <v>2023</v>
      </c>
      <c r="C101" s="58">
        <v>2024</v>
      </c>
      <c r="D101" s="58">
        <v>2025</v>
      </c>
      <c r="E101" s="52" t="s">
        <v>1164</v>
      </c>
      <c r="G101" s="80"/>
      <c r="H101" s="80"/>
      <c r="I101" s="80"/>
      <c r="J101" s="80"/>
    </row>
    <row r="102" spans="1:10">
      <c r="A102" s="53" t="s">
        <v>1079</v>
      </c>
      <c r="B102" s="59">
        <v>49.5</v>
      </c>
      <c r="C102" s="59">
        <v>51.5</v>
      </c>
      <c r="D102" s="59">
        <v>50.3</v>
      </c>
      <c r="E102" s="53" t="s">
        <v>1174</v>
      </c>
      <c r="F102" s="47"/>
      <c r="G102" s="82"/>
      <c r="H102" s="80"/>
      <c r="I102" s="80"/>
      <c r="J102" s="80"/>
    </row>
    <row r="103" spans="1:10">
      <c r="A103" s="53" t="s">
        <v>144</v>
      </c>
      <c r="B103" s="59">
        <v>47.9</v>
      </c>
      <c r="C103" s="59">
        <v>49.4</v>
      </c>
      <c r="D103" s="59">
        <v>48.5</v>
      </c>
      <c r="E103" s="53" t="s">
        <v>1174</v>
      </c>
      <c r="G103" s="82"/>
      <c r="H103" s="80"/>
      <c r="I103" s="80"/>
      <c r="J103" s="80"/>
    </row>
    <row r="104" spans="1:10">
      <c r="A104" s="53" t="s">
        <v>449</v>
      </c>
      <c r="B104" s="59">
        <v>45.8</v>
      </c>
      <c r="C104" s="59">
        <v>46.9</v>
      </c>
      <c r="D104" s="59">
        <v>47.3</v>
      </c>
      <c r="E104" s="53" t="s">
        <v>1174</v>
      </c>
      <c r="G104" s="82"/>
      <c r="H104" s="80"/>
      <c r="I104" s="80"/>
      <c r="J104" s="80"/>
    </row>
    <row r="105" spans="1:10">
      <c r="A105" s="89" t="s">
        <v>932</v>
      </c>
      <c r="B105" s="90">
        <v>45</v>
      </c>
      <c r="C105" s="90">
        <v>43</v>
      </c>
      <c r="D105" s="90">
        <v>42</v>
      </c>
      <c r="E105" s="91" t="str">
        <f>VLOOKUP(A105,'brand list'!$G$1:$H$29,2,0)</f>
        <v>大中华区</v>
      </c>
      <c r="G105" s="82"/>
      <c r="H105" s="80"/>
      <c r="I105" s="80"/>
      <c r="J105" s="80"/>
    </row>
    <row r="106" spans="1:10">
      <c r="A106" s="53" t="s">
        <v>164</v>
      </c>
      <c r="B106" s="59">
        <v>40.799999999999997</v>
      </c>
      <c r="C106" s="59">
        <v>41.5</v>
      </c>
      <c r="D106" s="59">
        <v>42</v>
      </c>
      <c r="E106" s="53" t="s">
        <v>1174</v>
      </c>
      <c r="G106" s="82"/>
      <c r="H106" s="80"/>
      <c r="I106" s="80"/>
      <c r="J106" s="80"/>
    </row>
    <row r="107" spans="1:10">
      <c r="A107" s="53" t="s">
        <v>589</v>
      </c>
      <c r="B107" s="59">
        <v>36.200000000000003</v>
      </c>
      <c r="C107" s="59">
        <v>41.08</v>
      </c>
      <c r="D107" s="59">
        <v>39.229999999999997</v>
      </c>
      <c r="E107" s="53" t="str">
        <f>VLOOKUP(A107,'brand list'!$G$1:$H$29,2,0)</f>
        <v>中国内地</v>
      </c>
      <c r="G107" s="82"/>
      <c r="H107" s="80"/>
      <c r="I107" s="80"/>
      <c r="J107" s="80"/>
    </row>
    <row r="108" spans="1:10">
      <c r="A108" s="53" t="s">
        <v>935</v>
      </c>
      <c r="B108" s="59">
        <v>37</v>
      </c>
      <c r="C108" s="59">
        <v>37.5</v>
      </c>
      <c r="D108" s="59">
        <v>38</v>
      </c>
      <c r="E108" s="53" t="str">
        <f>VLOOKUP(A108,'brand list'!$G$1:$H$29,2,0)</f>
        <v>中国公司</v>
      </c>
      <c r="G108" s="82"/>
      <c r="H108" s="80"/>
      <c r="I108" s="80"/>
      <c r="J108" s="80"/>
    </row>
    <row r="109" spans="1:10">
      <c r="A109" s="53" t="s">
        <v>910</v>
      </c>
      <c r="B109" s="59">
        <v>35.299999999999997</v>
      </c>
      <c r="C109" s="59">
        <v>35.5</v>
      </c>
      <c r="D109" s="59">
        <v>36.6</v>
      </c>
      <c r="E109" s="53" t="s">
        <v>1174</v>
      </c>
      <c r="G109" s="82"/>
      <c r="H109" s="80"/>
      <c r="I109" s="80"/>
      <c r="J109" s="80"/>
    </row>
    <row r="110" spans="1:10">
      <c r="A110" s="53" t="s">
        <v>245</v>
      </c>
      <c r="B110" s="59">
        <v>33.799999999999997</v>
      </c>
      <c r="C110" s="59">
        <v>34.5</v>
      </c>
      <c r="D110" s="59">
        <v>35.700000000000003</v>
      </c>
      <c r="E110" s="53" t="str">
        <f>VLOOKUP(A110,'brand list'!$G$1:$H$29,2,0)</f>
        <v>大中华区</v>
      </c>
      <c r="G110" s="82"/>
      <c r="H110" s="80"/>
      <c r="I110" s="80"/>
      <c r="J110" s="80"/>
    </row>
    <row r="111" spans="1:10">
      <c r="A111" s="53" t="s">
        <v>918</v>
      </c>
      <c r="B111" s="59">
        <v>34</v>
      </c>
      <c r="C111" s="59">
        <v>34.5</v>
      </c>
      <c r="D111" s="59">
        <v>35</v>
      </c>
      <c r="E111" s="53" t="str">
        <f>VLOOKUP(A111,'brand list'!$G$1:$H$29,2,0)</f>
        <v>中国公司</v>
      </c>
      <c r="G111" s="82"/>
      <c r="H111" s="80"/>
      <c r="I111" s="80"/>
      <c r="J111" s="80"/>
    </row>
    <row r="112" spans="1:10">
      <c r="A112" s="53" t="s">
        <v>929</v>
      </c>
      <c r="B112" s="59">
        <v>33.799999999999997</v>
      </c>
      <c r="C112" s="59">
        <v>32.799999999999997</v>
      </c>
      <c r="D112" s="59">
        <v>33.1</v>
      </c>
      <c r="E112" s="53" t="str">
        <f>VLOOKUP(A112,'brand list'!$G$1:$H$29,2,0)</f>
        <v>中国公司</v>
      </c>
      <c r="G112" s="82"/>
      <c r="H112" s="80"/>
      <c r="I112" s="80"/>
      <c r="J112" s="80"/>
    </row>
    <row r="113" spans="1:11">
      <c r="A113" s="53" t="s">
        <v>916</v>
      </c>
      <c r="B113" s="59">
        <v>29</v>
      </c>
      <c r="C113" s="59">
        <v>29.5</v>
      </c>
      <c r="D113" s="59">
        <v>30</v>
      </c>
      <c r="E113" s="53" t="str">
        <f>VLOOKUP(A113,'brand list'!$G$1:$H$29,2,0)</f>
        <v>中国公司</v>
      </c>
      <c r="G113" s="82"/>
      <c r="H113" s="80"/>
      <c r="I113" s="80"/>
      <c r="J113" s="80"/>
    </row>
    <row r="114" spans="1:11">
      <c r="A114" s="53" t="s">
        <v>917</v>
      </c>
      <c r="B114" s="59"/>
      <c r="C114" s="59">
        <v>20.329999999999998</v>
      </c>
      <c r="D114" s="59">
        <v>25.68</v>
      </c>
      <c r="E114" s="53" t="s">
        <v>1174</v>
      </c>
      <c r="G114" s="82"/>
      <c r="H114" s="80"/>
      <c r="I114" s="80"/>
      <c r="J114" s="80"/>
    </row>
    <row r="115" spans="1:11">
      <c r="A115" s="53" t="s">
        <v>917</v>
      </c>
      <c r="B115" s="59">
        <v>24</v>
      </c>
      <c r="C115" s="59">
        <v>24.5</v>
      </c>
      <c r="D115" s="59">
        <v>25</v>
      </c>
      <c r="E115" s="53" t="str">
        <f>VLOOKUP(A115,'brand list'!$G$1:$H$29,2,0)</f>
        <v>中国内地</v>
      </c>
      <c r="G115" s="82"/>
      <c r="H115" s="80"/>
      <c r="I115" s="80"/>
      <c r="J115" s="80"/>
    </row>
    <row r="116" spans="1:11">
      <c r="A116" s="53" t="s">
        <v>930</v>
      </c>
      <c r="B116" s="59">
        <v>23.400000000000002</v>
      </c>
      <c r="C116" s="59">
        <v>24</v>
      </c>
      <c r="D116" s="59">
        <v>24.7</v>
      </c>
      <c r="E116" s="53" t="str">
        <f>VLOOKUP(A116,'brand list'!$G$1:$H$29,2,0)</f>
        <v>中国公司</v>
      </c>
      <c r="G116" s="82"/>
      <c r="H116" s="80"/>
      <c r="I116" s="80"/>
      <c r="J116" s="80"/>
    </row>
    <row r="117" spans="1:11">
      <c r="A117" s="89" t="s">
        <v>913</v>
      </c>
      <c r="B117" s="90">
        <v>25.6</v>
      </c>
      <c r="C117" s="90">
        <v>24.7</v>
      </c>
      <c r="D117" s="90">
        <v>22.3</v>
      </c>
      <c r="E117" s="53" t="s">
        <v>1174</v>
      </c>
      <c r="G117" s="82"/>
      <c r="H117" s="80"/>
      <c r="I117" s="80"/>
      <c r="J117" s="80"/>
    </row>
    <row r="118" spans="1:11">
      <c r="A118" s="53" t="s">
        <v>147</v>
      </c>
      <c r="B118" s="59">
        <v>15.936852344659986</v>
      </c>
      <c r="C118" s="59">
        <v>16.380126470192273</v>
      </c>
      <c r="D118" s="59">
        <v>18.017231497287572</v>
      </c>
      <c r="E118" s="53" t="str">
        <f>VLOOKUP(A118,'brand list'!$G$1:$H$29,2,0)</f>
        <v>亚太区</v>
      </c>
      <c r="G118" s="82"/>
      <c r="H118" s="80"/>
      <c r="I118" s="80"/>
      <c r="J118" s="80"/>
    </row>
    <row r="119" spans="1:11">
      <c r="A119" s="53" t="s">
        <v>129</v>
      </c>
      <c r="B119" s="59">
        <v>42.1</v>
      </c>
      <c r="C119" s="59">
        <v>43.1</v>
      </c>
      <c r="D119" s="59"/>
      <c r="E119" s="53" t="s">
        <v>1174</v>
      </c>
      <c r="G119" s="82"/>
      <c r="H119" s="80"/>
      <c r="I119" s="80"/>
      <c r="J119" s="80"/>
    </row>
    <row r="120" spans="1:11">
      <c r="A120" s="53" t="s">
        <v>1176</v>
      </c>
      <c r="B120" s="59">
        <f>AVERAGE(B102:B119)</f>
        <v>35.243344255568239</v>
      </c>
      <c r="C120" s="59">
        <f t="shared" ref="C120:D120" si="2">AVERAGE(C102:C119)</f>
        <v>35.038340359455134</v>
      </c>
      <c r="D120" s="59">
        <f t="shared" si="2"/>
        <v>34.907484205722803</v>
      </c>
      <c r="E120" s="53"/>
    </row>
    <row r="122" spans="1:11">
      <c r="A122" t="s">
        <v>1181</v>
      </c>
    </row>
    <row r="124" spans="1:11" ht="15">
      <c r="A124" s="66" t="s">
        <v>900</v>
      </c>
      <c r="B124" s="66" t="s">
        <v>925</v>
      </c>
      <c r="C124" s="66" t="s">
        <v>36</v>
      </c>
      <c r="D124" s="66" t="s">
        <v>29</v>
      </c>
      <c r="E124" s="66" t="s">
        <v>203</v>
      </c>
      <c r="F124" s="73" t="s">
        <v>1188</v>
      </c>
      <c r="H124" s="3" t="s">
        <v>620</v>
      </c>
      <c r="I124" t="s">
        <v>1189</v>
      </c>
      <c r="J124" t="s">
        <v>1190</v>
      </c>
      <c r="K124" t="s">
        <v>1191</v>
      </c>
    </row>
    <row r="125" spans="1:11">
      <c r="A125" s="69">
        <v>1</v>
      </c>
      <c r="B125" s="69" t="s">
        <v>930</v>
      </c>
      <c r="C125" s="70">
        <v>0.19500000000000001</v>
      </c>
      <c r="D125" s="70">
        <v>0.62</v>
      </c>
      <c r="E125" s="75">
        <v>0.247</v>
      </c>
      <c r="F125" s="77" t="s">
        <v>1183</v>
      </c>
      <c r="H125" s="4" t="s">
        <v>1182</v>
      </c>
      <c r="I125" s="41">
        <v>0.15328333333333335</v>
      </c>
      <c r="J125" s="41">
        <v>0.5661666666666666</v>
      </c>
      <c r="K125" s="79">
        <v>0.28120000000000001</v>
      </c>
    </row>
    <row r="126" spans="1:11">
      <c r="A126" s="69">
        <v>2</v>
      </c>
      <c r="B126" s="69" t="s">
        <v>245</v>
      </c>
      <c r="C126" s="70">
        <v>0.182</v>
      </c>
      <c r="D126" s="70">
        <v>0.46</v>
      </c>
      <c r="E126" s="70">
        <v>0.35699999999999998</v>
      </c>
      <c r="F126" s="77" t="s">
        <v>1183</v>
      </c>
      <c r="H126" s="4" t="s">
        <v>1184</v>
      </c>
      <c r="I126" s="41">
        <v>6.7828571428571433E-2</v>
      </c>
      <c r="J126" s="41">
        <v>0.4977428571428571</v>
      </c>
      <c r="K126" s="79">
        <v>0.39739999999999998</v>
      </c>
    </row>
    <row r="127" spans="1:11">
      <c r="A127" s="69">
        <v>3</v>
      </c>
      <c r="B127" s="69" t="s">
        <v>979</v>
      </c>
      <c r="C127" s="70">
        <v>0.156</v>
      </c>
      <c r="D127" s="70">
        <v>0.58250000000000002</v>
      </c>
      <c r="E127" s="69"/>
      <c r="F127" s="77" t="s">
        <v>1183</v>
      </c>
      <c r="H127" s="4" t="s">
        <v>1186</v>
      </c>
      <c r="I127" s="41">
        <v>-7.8499999999999993E-3</v>
      </c>
      <c r="J127" s="41">
        <v>0.37282499999999996</v>
      </c>
      <c r="K127" s="79">
        <v>0.33379999999999999</v>
      </c>
    </row>
    <row r="128" spans="1:11">
      <c r="A128" s="69">
        <v>4</v>
      </c>
      <c r="B128" s="69" t="s">
        <v>910</v>
      </c>
      <c r="C128" s="70">
        <v>0.14199999999999999</v>
      </c>
      <c r="D128" s="70">
        <v>0.56599999999999995</v>
      </c>
      <c r="E128" s="70">
        <v>0.36599999999999999</v>
      </c>
      <c r="F128" s="77" t="s">
        <v>1183</v>
      </c>
      <c r="H128" s="4" t="s">
        <v>621</v>
      </c>
      <c r="I128" s="41">
        <v>8.0182352941176455E-2</v>
      </c>
      <c r="J128" s="41">
        <v>0.49249999999999994</v>
      </c>
      <c r="K128" s="79">
        <v>0.33772857142857138</v>
      </c>
    </row>
    <row r="129" spans="1:6">
      <c r="A129" s="69">
        <v>5</v>
      </c>
      <c r="B129" s="69" t="s">
        <v>918</v>
      </c>
      <c r="C129" s="70">
        <v>0.12770000000000001</v>
      </c>
      <c r="D129" s="70">
        <v>0.75349999999999995</v>
      </c>
      <c r="E129" s="70">
        <v>0.35</v>
      </c>
      <c r="F129" s="77" t="s">
        <v>1183</v>
      </c>
    </row>
    <row r="130" spans="1:6">
      <c r="A130" s="69">
        <v>6</v>
      </c>
      <c r="B130" s="74" t="s">
        <v>913</v>
      </c>
      <c r="C130" s="75">
        <v>0.11700000000000001</v>
      </c>
      <c r="D130" s="75">
        <v>0.41499999999999998</v>
      </c>
      <c r="E130" s="75">
        <v>0.223</v>
      </c>
      <c r="F130" s="77" t="s">
        <v>1183</v>
      </c>
    </row>
    <row r="131" spans="1:6">
      <c r="A131" s="71">
        <v>7</v>
      </c>
      <c r="B131" s="71" t="s">
        <v>935</v>
      </c>
      <c r="C131" s="72">
        <v>9.9000000000000005E-2</v>
      </c>
      <c r="D131" s="72">
        <v>0.49</v>
      </c>
      <c r="E131" s="72">
        <v>0.38</v>
      </c>
      <c r="F131" s="76" t="s">
        <v>1185</v>
      </c>
    </row>
    <row r="132" spans="1:6">
      <c r="A132" s="71">
        <v>8</v>
      </c>
      <c r="B132" s="71" t="s">
        <v>936</v>
      </c>
      <c r="C132" s="72">
        <v>9.7000000000000003E-2</v>
      </c>
      <c r="D132" s="72">
        <v>0.42799999999999999</v>
      </c>
      <c r="E132" s="71"/>
      <c r="F132" s="76" t="s">
        <v>1185</v>
      </c>
    </row>
    <row r="133" spans="1:6">
      <c r="A133" s="71">
        <v>9</v>
      </c>
      <c r="B133" s="71" t="s">
        <v>1079</v>
      </c>
      <c r="C133" s="72">
        <v>6.7599999999999993E-2</v>
      </c>
      <c r="D133" s="72">
        <v>0.62819999999999998</v>
      </c>
      <c r="E133" s="72">
        <v>0.503</v>
      </c>
      <c r="F133" s="76" t="s">
        <v>1185</v>
      </c>
    </row>
    <row r="134" spans="1:6">
      <c r="A134" s="71">
        <v>10</v>
      </c>
      <c r="B134" s="71" t="s">
        <v>449</v>
      </c>
      <c r="C134" s="72">
        <v>6.7000000000000004E-2</v>
      </c>
      <c r="D134" s="72">
        <v>0.57630000000000003</v>
      </c>
      <c r="E134" s="72">
        <v>0.47299999999999998</v>
      </c>
      <c r="F134" s="76" t="s">
        <v>1185</v>
      </c>
    </row>
    <row r="135" spans="1:6">
      <c r="A135" s="71">
        <v>11</v>
      </c>
      <c r="B135" s="71" t="s">
        <v>916</v>
      </c>
      <c r="C135" s="72">
        <v>5.7200000000000001E-2</v>
      </c>
      <c r="D135" s="72">
        <v>0.47570000000000001</v>
      </c>
      <c r="E135" s="72">
        <v>0.3</v>
      </c>
      <c r="F135" s="76" t="s">
        <v>1185</v>
      </c>
    </row>
    <row r="136" spans="1:6">
      <c r="A136" s="71">
        <v>12</v>
      </c>
      <c r="B136" s="71" t="s">
        <v>929</v>
      </c>
      <c r="C136" s="72">
        <v>4.8000000000000001E-2</v>
      </c>
      <c r="D136" s="72">
        <v>0.38400000000000001</v>
      </c>
      <c r="E136" s="72">
        <v>0.33100000000000002</v>
      </c>
      <c r="F136" s="76" t="s">
        <v>1185</v>
      </c>
    </row>
    <row r="137" spans="1:6">
      <c r="A137" s="71">
        <v>13</v>
      </c>
      <c r="B137" s="71" t="s">
        <v>912</v>
      </c>
      <c r="C137" s="72">
        <v>3.9E-2</v>
      </c>
      <c r="D137" s="72">
        <v>0.502</v>
      </c>
      <c r="E137" s="71"/>
      <c r="F137" s="76" t="s">
        <v>1185</v>
      </c>
    </row>
    <row r="138" spans="1:6">
      <c r="A138" s="67">
        <v>14</v>
      </c>
      <c r="B138" s="67" t="s">
        <v>144</v>
      </c>
      <c r="C138" s="68">
        <v>2.7E-2</v>
      </c>
      <c r="D138" s="68">
        <v>0.54800000000000004</v>
      </c>
      <c r="E138" s="68">
        <v>0.48499999999999999</v>
      </c>
      <c r="F138" s="78" t="s">
        <v>1187</v>
      </c>
    </row>
    <row r="139" spans="1:6">
      <c r="A139" s="67">
        <v>15</v>
      </c>
      <c r="B139" s="67" t="s">
        <v>147</v>
      </c>
      <c r="C139" s="68">
        <v>1.44E-2</v>
      </c>
      <c r="D139" s="68">
        <v>0.1981</v>
      </c>
      <c r="E139" s="68">
        <v>0.1802</v>
      </c>
      <c r="F139" s="78" t="s">
        <v>1187</v>
      </c>
    </row>
    <row r="140" spans="1:6">
      <c r="A140" s="67">
        <v>16</v>
      </c>
      <c r="B140" s="67" t="s">
        <v>917</v>
      </c>
      <c r="C140" s="68">
        <v>-3.3799999999999997E-2</v>
      </c>
      <c r="D140" s="68">
        <v>0.26619999999999999</v>
      </c>
      <c r="E140" s="68">
        <v>0.25</v>
      </c>
      <c r="F140" s="78" t="s">
        <v>1187</v>
      </c>
    </row>
    <row r="141" spans="1:6">
      <c r="A141" s="67">
        <v>17</v>
      </c>
      <c r="B141" s="67" t="s">
        <v>164</v>
      </c>
      <c r="C141" s="68">
        <v>-3.9E-2</v>
      </c>
      <c r="D141" s="68">
        <v>0.47899999999999998</v>
      </c>
      <c r="E141" s="68">
        <v>0.42</v>
      </c>
      <c r="F141" s="78" t="s">
        <v>1187</v>
      </c>
    </row>
    <row r="142" spans="1:6">
      <c r="C142" s="46"/>
      <c r="F142" s="78"/>
    </row>
    <row r="143" spans="1:6">
      <c r="A143" t="s">
        <v>1200</v>
      </c>
    </row>
    <row r="145" spans="1:5">
      <c r="B145" s="2" t="s">
        <v>1154</v>
      </c>
    </row>
    <row r="146" spans="1:5">
      <c r="A146">
        <v>2025</v>
      </c>
      <c r="B146" s="83">
        <v>0.105</v>
      </c>
      <c r="C146" s="84">
        <v>8.4000000000000005E-2</v>
      </c>
      <c r="D146" s="84">
        <v>3.4000000000000002E-2</v>
      </c>
      <c r="E146" s="84">
        <v>0.22600000000000001</v>
      </c>
    </row>
    <row r="147" spans="1:5">
      <c r="A147">
        <v>2024</v>
      </c>
      <c r="B147" s="84">
        <v>0.128</v>
      </c>
      <c r="C147" s="84">
        <v>8.5000000000000006E-2</v>
      </c>
      <c r="D147" s="84">
        <v>3.4000000000000002E-2</v>
      </c>
      <c r="E147" s="84">
        <v>0.24099999999999999</v>
      </c>
    </row>
    <row r="148" spans="1:5">
      <c r="A148">
        <v>2023</v>
      </c>
      <c r="B148" s="84">
        <v>0.127</v>
      </c>
      <c r="C148" s="84">
        <v>9.1999999999999998E-2</v>
      </c>
      <c r="D148" s="84">
        <v>3.6999999999999998E-2</v>
      </c>
      <c r="E148" s="84">
        <v>0.25</v>
      </c>
    </row>
    <row r="159" spans="1:5">
      <c r="B159" s="85" t="s">
        <v>620</v>
      </c>
      <c r="C159" s="85">
        <v>2023</v>
      </c>
      <c r="D159" s="85">
        <v>2024</v>
      </c>
      <c r="E159" s="85">
        <v>2025</v>
      </c>
    </row>
    <row r="160" spans="1:5">
      <c r="A160" s="88" t="s">
        <v>1155</v>
      </c>
      <c r="B160" s="82" t="s">
        <v>218</v>
      </c>
      <c r="C160" s="80">
        <v>10</v>
      </c>
      <c r="D160" s="80">
        <v>10.199999999999999</v>
      </c>
      <c r="E160" s="80">
        <v>10.5</v>
      </c>
    </row>
    <row r="161" spans="1:5">
      <c r="A161" s="88" t="s">
        <v>1155</v>
      </c>
      <c r="B161" s="82" t="s">
        <v>1193</v>
      </c>
      <c r="C161" s="80">
        <v>10.8</v>
      </c>
      <c r="D161" s="80">
        <v>11</v>
      </c>
      <c r="E161" s="80">
        <v>11.5</v>
      </c>
    </row>
    <row r="162" spans="1:5">
      <c r="A162" s="88" t="s">
        <v>1155</v>
      </c>
      <c r="B162" s="82" t="s">
        <v>1197</v>
      </c>
      <c r="C162" s="80">
        <v>2.6</v>
      </c>
      <c r="D162" s="80">
        <v>2.8</v>
      </c>
      <c r="E162" s="80">
        <v>2.7</v>
      </c>
    </row>
    <row r="163" spans="1:5">
      <c r="B163" s="86" t="s">
        <v>621</v>
      </c>
      <c r="C163" s="87">
        <v>23.400000000000002</v>
      </c>
      <c r="D163" s="87">
        <v>24</v>
      </c>
      <c r="E163" s="87">
        <v>24.7</v>
      </c>
    </row>
    <row r="171" spans="1:5">
      <c r="B171" s="2" t="s">
        <v>1201</v>
      </c>
    </row>
  </sheetData>
  <sortState xmlns:xlrd2="http://schemas.microsoft.com/office/spreadsheetml/2017/richdata2" ref="G102:J119">
    <sortCondition descending="1" ref="J102:J119"/>
  </sortState>
  <phoneticPr fontId="3" type="noConversion"/>
  <pageMargins left="0.7" right="0.7" top="0.75" bottom="0.75" header="0.3" footer="0.3"/>
  <pageSetup paperSize="9"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0EF3D-A8EC-4B8A-A1BD-0F742D0E777B}">
  <dimension ref="A1:F166"/>
  <sheetViews>
    <sheetView workbookViewId="0">
      <selection activeCell="K9" sqref="K9"/>
    </sheetView>
  </sheetViews>
  <sheetFormatPr defaultRowHeight="14.5"/>
  <sheetData>
    <row r="1" spans="1:6" ht="35">
      <c r="A1" s="99" t="s">
        <v>1396</v>
      </c>
      <c r="B1" s="100"/>
      <c r="C1" s="100"/>
      <c r="D1" s="100"/>
      <c r="E1" s="100"/>
      <c r="F1" s="100"/>
    </row>
    <row r="2" spans="1:6">
      <c r="A2" s="100"/>
      <c r="B2" s="100"/>
      <c r="C2" s="100"/>
      <c r="D2" s="100"/>
      <c r="E2" s="100"/>
      <c r="F2" s="100"/>
    </row>
    <row r="3" spans="1:6" ht="26">
      <c r="A3" s="101" t="s">
        <v>1397</v>
      </c>
      <c r="B3" s="100"/>
      <c r="C3" s="100"/>
      <c r="D3" s="100"/>
      <c r="E3" s="100"/>
      <c r="F3" s="100"/>
    </row>
    <row r="4" spans="1:6">
      <c r="A4" s="100"/>
      <c r="B4" s="100"/>
      <c r="C4" s="100"/>
      <c r="D4" s="100"/>
      <c r="E4" s="100"/>
      <c r="F4" s="100"/>
    </row>
    <row r="5" spans="1:6" ht="20.5">
      <c r="A5" s="102" t="s">
        <v>1398</v>
      </c>
      <c r="B5" s="100"/>
      <c r="C5" s="100"/>
      <c r="D5" s="100"/>
      <c r="E5" s="100"/>
      <c r="F5" s="100"/>
    </row>
    <row r="6" spans="1:6">
      <c r="A6" s="100"/>
      <c r="B6" s="100"/>
      <c r="C6" s="100"/>
      <c r="D6" s="100"/>
      <c r="E6" s="100"/>
      <c r="F6" s="100"/>
    </row>
    <row r="7" spans="1:6">
      <c r="A7" s="125" t="s">
        <v>1149</v>
      </c>
      <c r="B7" s="125" t="s">
        <v>1399</v>
      </c>
      <c r="C7" s="125" t="s">
        <v>1400</v>
      </c>
      <c r="D7" s="125" t="s">
        <v>1401</v>
      </c>
      <c r="E7" s="125" t="s">
        <v>1402</v>
      </c>
      <c r="F7" s="100"/>
    </row>
    <row r="8" spans="1:6">
      <c r="A8" s="128" t="s">
        <v>1403</v>
      </c>
      <c r="B8" s="126" t="s">
        <v>1404</v>
      </c>
      <c r="C8" s="126" t="s">
        <v>1405</v>
      </c>
      <c r="D8" s="126" t="s">
        <v>1406</v>
      </c>
      <c r="E8" s="127">
        <v>0.106</v>
      </c>
      <c r="F8" s="100"/>
    </row>
    <row r="9" spans="1:6">
      <c r="A9" s="128" t="s">
        <v>1407</v>
      </c>
      <c r="B9" s="126" t="s">
        <v>677</v>
      </c>
      <c r="C9" s="129">
        <v>0.19600000000000001</v>
      </c>
      <c r="D9" s="127">
        <v>0.106</v>
      </c>
      <c r="E9" s="126" t="s">
        <v>1408</v>
      </c>
      <c r="F9" s="100"/>
    </row>
    <row r="10" spans="1:6">
      <c r="A10" s="128" t="s">
        <v>150</v>
      </c>
      <c r="B10" s="126" t="s">
        <v>1409</v>
      </c>
      <c r="C10" s="126" t="s">
        <v>1410</v>
      </c>
      <c r="D10" s="126" t="s">
        <v>1411</v>
      </c>
      <c r="E10" s="127">
        <v>0.14000000000000001</v>
      </c>
      <c r="F10" s="100"/>
    </row>
    <row r="11" spans="1:6">
      <c r="A11" s="128" t="s">
        <v>36</v>
      </c>
      <c r="B11" s="127">
        <v>0.114</v>
      </c>
      <c r="C11" s="127">
        <v>0.114</v>
      </c>
      <c r="D11" s="127">
        <v>0.11700000000000001</v>
      </c>
      <c r="E11" s="126" t="s">
        <v>1412</v>
      </c>
      <c r="F11" s="100"/>
    </row>
    <row r="12" spans="1:6">
      <c r="A12" s="104"/>
      <c r="B12" s="100"/>
      <c r="C12" s="100"/>
      <c r="D12" s="100"/>
      <c r="E12" s="100"/>
      <c r="F12" s="100"/>
    </row>
    <row r="13" spans="1:6">
      <c r="A13" s="105" t="s">
        <v>1413</v>
      </c>
      <c r="B13" s="100"/>
      <c r="C13" s="100"/>
      <c r="D13" s="100"/>
      <c r="E13" s="100"/>
      <c r="F13" s="100"/>
    </row>
    <row r="14" spans="1:6">
      <c r="A14" s="100"/>
      <c r="B14" s="100"/>
      <c r="C14" s="100"/>
      <c r="D14" s="100"/>
      <c r="E14" s="100"/>
      <c r="F14" s="100"/>
    </row>
    <row r="15" spans="1:6" ht="20.5">
      <c r="A15" s="102" t="s">
        <v>1414</v>
      </c>
      <c r="B15" s="100"/>
      <c r="C15" s="100"/>
      <c r="D15" s="100"/>
      <c r="E15" s="100"/>
      <c r="F15" s="100"/>
    </row>
    <row r="16" spans="1:6">
      <c r="A16" s="100"/>
      <c r="B16" s="100"/>
      <c r="C16" s="100"/>
      <c r="D16" s="100"/>
      <c r="E16" s="100"/>
      <c r="F16" s="100"/>
    </row>
    <row r="17" spans="1:6">
      <c r="A17" s="125" t="s">
        <v>1415</v>
      </c>
      <c r="B17" s="125" t="s">
        <v>1399</v>
      </c>
      <c r="C17" s="125" t="s">
        <v>1400</v>
      </c>
      <c r="D17" s="125" t="s">
        <v>1401</v>
      </c>
      <c r="E17" s="125" t="s">
        <v>1416</v>
      </c>
      <c r="F17" s="100"/>
    </row>
    <row r="18" spans="1:6">
      <c r="A18" s="126" t="s">
        <v>1417</v>
      </c>
      <c r="B18" s="126" t="s">
        <v>677</v>
      </c>
      <c r="C18" s="126" t="s">
        <v>1418</v>
      </c>
      <c r="D18" s="126" t="s">
        <v>1419</v>
      </c>
      <c r="E18" s="126" t="s">
        <v>1420</v>
      </c>
      <c r="F18" s="100"/>
    </row>
    <row r="19" spans="1:6">
      <c r="A19" s="126" t="s">
        <v>1421</v>
      </c>
      <c r="B19" s="126" t="s">
        <v>677</v>
      </c>
      <c r="C19" s="126" t="s">
        <v>1422</v>
      </c>
      <c r="D19" s="126" t="s">
        <v>1423</v>
      </c>
      <c r="E19" s="126" t="s">
        <v>1424</v>
      </c>
      <c r="F19" s="100"/>
    </row>
    <row r="20" spans="1:6">
      <c r="A20" s="126" t="s">
        <v>1425</v>
      </c>
      <c r="B20" s="126" t="s">
        <v>677</v>
      </c>
      <c r="C20" s="126" t="s">
        <v>1426</v>
      </c>
      <c r="D20" s="126" t="s">
        <v>1427</v>
      </c>
      <c r="E20" s="128" t="s">
        <v>1428</v>
      </c>
      <c r="F20" s="100"/>
    </row>
    <row r="21" spans="1:6">
      <c r="A21" s="126" t="s">
        <v>1429</v>
      </c>
      <c r="B21" s="126" t="s">
        <v>677</v>
      </c>
      <c r="C21" s="126" t="s">
        <v>1430</v>
      </c>
      <c r="D21" s="126" t="s">
        <v>1431</v>
      </c>
      <c r="E21" s="128" t="s">
        <v>1420</v>
      </c>
      <c r="F21" s="100"/>
    </row>
    <row r="22" spans="1:6">
      <c r="A22" s="126" t="s">
        <v>1432</v>
      </c>
      <c r="B22" s="126" t="s">
        <v>677</v>
      </c>
      <c r="C22" s="126" t="s">
        <v>1433</v>
      </c>
      <c r="D22" s="126" t="s">
        <v>1434</v>
      </c>
      <c r="E22" s="126" t="s">
        <v>1435</v>
      </c>
      <c r="F22" s="100"/>
    </row>
    <row r="23" spans="1:6">
      <c r="A23" s="104"/>
      <c r="B23" s="100"/>
      <c r="C23" s="100"/>
      <c r="D23" s="100"/>
      <c r="E23" s="100"/>
      <c r="F23" s="100"/>
    </row>
    <row r="24" spans="1:6">
      <c r="A24" s="105" t="s">
        <v>1436</v>
      </c>
      <c r="B24" s="100"/>
      <c r="C24" s="100"/>
      <c r="D24" s="100"/>
      <c r="E24" s="100"/>
      <c r="F24" s="100"/>
    </row>
    <row r="25" spans="1:6">
      <c r="A25" s="100"/>
      <c r="B25" s="100"/>
      <c r="C25" s="100"/>
      <c r="D25" s="100"/>
      <c r="E25" s="100"/>
      <c r="F25" s="100"/>
    </row>
    <row r="26" spans="1:6" ht="20.5">
      <c r="A26" s="102" t="s">
        <v>1437</v>
      </c>
      <c r="B26" s="100"/>
      <c r="C26" s="100"/>
      <c r="D26" s="100"/>
      <c r="E26" s="100"/>
      <c r="F26" s="100"/>
    </row>
    <row r="27" spans="1:6">
      <c r="A27" s="100"/>
      <c r="B27" s="100"/>
      <c r="C27" s="100"/>
      <c r="D27" s="100"/>
      <c r="E27" s="100"/>
      <c r="F27" s="100"/>
    </row>
    <row r="28" spans="1:6">
      <c r="A28" s="125" t="s">
        <v>1438</v>
      </c>
      <c r="B28" s="125" t="s">
        <v>1399</v>
      </c>
      <c r="C28" s="125" t="s">
        <v>1400</v>
      </c>
      <c r="D28" s="125" t="s">
        <v>1401</v>
      </c>
      <c r="E28" s="125" t="s">
        <v>1150</v>
      </c>
      <c r="F28" s="100"/>
    </row>
    <row r="29" spans="1:6">
      <c r="A29" s="128" t="s">
        <v>1439</v>
      </c>
      <c r="B29" s="126" t="s">
        <v>1440</v>
      </c>
      <c r="C29" s="126" t="s">
        <v>1441</v>
      </c>
      <c r="D29" s="126" t="s">
        <v>1442</v>
      </c>
      <c r="E29" s="128" t="s">
        <v>1428</v>
      </c>
      <c r="F29" s="100"/>
    </row>
    <row r="30" spans="1:6">
      <c r="A30" s="128" t="s">
        <v>1443</v>
      </c>
      <c r="B30" s="126" t="s">
        <v>1444</v>
      </c>
      <c r="C30" s="126" t="s">
        <v>1445</v>
      </c>
      <c r="D30" s="126" t="s">
        <v>1446</v>
      </c>
      <c r="E30" s="126" t="s">
        <v>1420</v>
      </c>
      <c r="F30" s="100"/>
    </row>
    <row r="31" spans="1:6">
      <c r="A31" s="104"/>
      <c r="B31" s="100"/>
      <c r="C31" s="100"/>
      <c r="D31" s="100"/>
      <c r="E31" s="100"/>
      <c r="F31" s="100"/>
    </row>
    <row r="32" spans="1:6">
      <c r="A32" s="105" t="s">
        <v>1447</v>
      </c>
      <c r="B32" s="100"/>
      <c r="C32" s="100"/>
      <c r="D32" s="100"/>
      <c r="E32" s="100"/>
      <c r="F32" s="100"/>
    </row>
    <row r="33" spans="1:6">
      <c r="A33" s="100"/>
      <c r="B33" s="100"/>
      <c r="C33" s="100"/>
      <c r="D33" s="100"/>
      <c r="E33" s="100"/>
      <c r="F33" s="100"/>
    </row>
    <row r="34" spans="1:6" ht="20.5">
      <c r="A34" s="102" t="s">
        <v>1448</v>
      </c>
      <c r="B34" s="100"/>
      <c r="C34" s="100"/>
      <c r="D34" s="100"/>
      <c r="E34" s="100"/>
      <c r="F34" s="100"/>
    </row>
    <row r="35" spans="1:6">
      <c r="A35" s="100"/>
      <c r="B35" s="100"/>
      <c r="C35" s="100"/>
      <c r="D35" s="100"/>
      <c r="E35" s="100"/>
      <c r="F35" s="100"/>
    </row>
    <row r="36" spans="1:6">
      <c r="A36" s="125" t="s">
        <v>1449</v>
      </c>
      <c r="B36" s="125" t="s">
        <v>1450</v>
      </c>
      <c r="C36" s="125" t="s">
        <v>1451</v>
      </c>
      <c r="D36" s="125" t="s">
        <v>1452</v>
      </c>
      <c r="E36" s="125" t="s">
        <v>1416</v>
      </c>
      <c r="F36" s="100"/>
    </row>
    <row r="37" spans="1:6">
      <c r="A37" s="126" t="s">
        <v>1453</v>
      </c>
      <c r="B37" s="126" t="s">
        <v>1454</v>
      </c>
      <c r="C37" s="126" t="s">
        <v>1455</v>
      </c>
      <c r="D37" s="126" t="s">
        <v>1456</v>
      </c>
      <c r="E37" s="128" t="s">
        <v>1457</v>
      </c>
      <c r="F37" s="100"/>
    </row>
    <row r="38" spans="1:6">
      <c r="A38" s="126" t="s">
        <v>1458</v>
      </c>
      <c r="B38" s="126" t="s">
        <v>1459</v>
      </c>
      <c r="C38" s="126" t="s">
        <v>1460</v>
      </c>
      <c r="D38" s="126" t="s">
        <v>1461</v>
      </c>
      <c r="E38" s="128" t="s">
        <v>1462</v>
      </c>
      <c r="F38" s="100"/>
    </row>
    <row r="39" spans="1:6">
      <c r="A39" s="126" t="s">
        <v>1463</v>
      </c>
      <c r="B39" s="126" t="s">
        <v>677</v>
      </c>
      <c r="C39" s="126" t="s">
        <v>1464</v>
      </c>
      <c r="D39" s="126" t="s">
        <v>1465</v>
      </c>
      <c r="E39" s="126" t="s">
        <v>1466</v>
      </c>
      <c r="F39" s="100"/>
    </row>
    <row r="40" spans="1:6">
      <c r="A40" s="104"/>
      <c r="B40" s="100"/>
      <c r="C40" s="100"/>
      <c r="D40" s="100"/>
      <c r="E40" s="100"/>
      <c r="F40" s="100"/>
    </row>
    <row r="41" spans="1:6">
      <c r="A41" s="105" t="s">
        <v>1557</v>
      </c>
      <c r="B41" s="100"/>
      <c r="C41" s="100"/>
      <c r="D41" s="100"/>
      <c r="E41" s="100"/>
      <c r="F41" s="100"/>
    </row>
    <row r="42" spans="1:6">
      <c r="A42" s="100"/>
      <c r="B42" s="100"/>
      <c r="C42" s="100"/>
      <c r="D42" s="100"/>
      <c r="E42" s="100"/>
      <c r="F42" s="100"/>
    </row>
    <row r="43" spans="1:6" ht="20.5">
      <c r="A43" s="102" t="s">
        <v>1467</v>
      </c>
      <c r="B43" s="100"/>
      <c r="C43" s="100"/>
      <c r="D43" s="100"/>
      <c r="E43" s="100"/>
      <c r="F43" s="100"/>
    </row>
    <row r="44" spans="1:6">
      <c r="A44" s="100"/>
      <c r="B44" s="100"/>
      <c r="C44" s="100"/>
      <c r="D44" s="100"/>
      <c r="E44" s="100"/>
      <c r="F44" s="100"/>
    </row>
    <row r="45" spans="1:6">
      <c r="A45" s="125" t="s">
        <v>2</v>
      </c>
      <c r="B45" s="125" t="s">
        <v>1468</v>
      </c>
      <c r="C45" s="125" t="s">
        <v>1469</v>
      </c>
      <c r="D45" s="100"/>
      <c r="E45" s="100"/>
      <c r="F45" s="100"/>
    </row>
    <row r="46" spans="1:6">
      <c r="A46" s="126" t="s">
        <v>1470</v>
      </c>
      <c r="B46" s="127">
        <v>0.46300000000000002</v>
      </c>
      <c r="C46" s="127">
        <v>0.45800000000000002</v>
      </c>
      <c r="D46" s="100"/>
      <c r="E46" s="100"/>
      <c r="F46" s="100"/>
    </row>
    <row r="47" spans="1:6">
      <c r="A47" s="126" t="s">
        <v>1471</v>
      </c>
      <c r="B47" s="127">
        <v>0.21299999999999999</v>
      </c>
      <c r="C47" s="127">
        <v>0.20499999999999999</v>
      </c>
      <c r="D47" s="100"/>
      <c r="E47" s="100"/>
      <c r="F47" s="100"/>
    </row>
    <row r="48" spans="1:6">
      <c r="A48" s="126" t="s">
        <v>1472</v>
      </c>
      <c r="B48" s="127">
        <v>0.20399999999999999</v>
      </c>
      <c r="C48" s="127">
        <v>0.2</v>
      </c>
      <c r="D48" s="100"/>
      <c r="E48" s="100"/>
      <c r="F48" s="100"/>
    </row>
    <row r="49" spans="1:6">
      <c r="A49" s="126" t="s">
        <v>1473</v>
      </c>
      <c r="B49" s="127">
        <v>0.12</v>
      </c>
      <c r="C49" s="127">
        <v>0.13700000000000001</v>
      </c>
      <c r="D49" s="100"/>
      <c r="E49" s="100"/>
      <c r="F49" s="100"/>
    </row>
    <row r="50" spans="1:6">
      <c r="A50" s="100"/>
      <c r="B50" s="100"/>
      <c r="C50" s="100"/>
      <c r="D50" s="100"/>
      <c r="E50" s="100"/>
      <c r="F50" s="100"/>
    </row>
    <row r="51" spans="1:6">
      <c r="A51" s="100"/>
      <c r="B51" s="100"/>
      <c r="C51" s="100"/>
      <c r="D51" s="100"/>
      <c r="E51" s="100"/>
      <c r="F51" s="100"/>
    </row>
    <row r="52" spans="1:6" ht="26">
      <c r="A52" s="101" t="s">
        <v>1474</v>
      </c>
      <c r="B52" s="100"/>
      <c r="C52" s="100"/>
      <c r="D52" s="100"/>
      <c r="E52" s="100"/>
      <c r="F52" s="100"/>
    </row>
    <row r="53" spans="1:6">
      <c r="A53" s="100"/>
      <c r="B53" s="100"/>
      <c r="C53" s="100"/>
      <c r="D53" s="100"/>
      <c r="E53" s="100"/>
      <c r="F53" s="100"/>
    </row>
    <row r="54" spans="1:6" ht="20.5">
      <c r="A54" s="102" t="s">
        <v>29</v>
      </c>
      <c r="B54" s="100"/>
      <c r="C54" s="100"/>
      <c r="D54" s="100"/>
      <c r="E54" s="100"/>
      <c r="F54" s="100"/>
    </row>
    <row r="55" spans="1:6">
      <c r="A55" s="100"/>
      <c r="B55" s="100"/>
      <c r="C55" s="100"/>
      <c r="D55" s="100"/>
      <c r="E55" s="100"/>
      <c r="F55" s="100"/>
    </row>
    <row r="56" spans="1:6">
      <c r="A56" s="125" t="s">
        <v>1415</v>
      </c>
      <c r="B56" s="125" t="s">
        <v>1399</v>
      </c>
      <c r="C56" s="125" t="s">
        <v>1400</v>
      </c>
      <c r="D56" s="125" t="s">
        <v>1401</v>
      </c>
      <c r="E56" s="125" t="s">
        <v>1475</v>
      </c>
      <c r="F56" s="100"/>
    </row>
    <row r="57" spans="1:6">
      <c r="A57" s="128" t="s">
        <v>1476</v>
      </c>
      <c r="B57" s="127">
        <v>0.41099999999999998</v>
      </c>
      <c r="C57" s="127">
        <v>0.41499999999999998</v>
      </c>
      <c r="D57" s="127">
        <v>0.41499999999999998</v>
      </c>
      <c r="E57" s="128" t="s">
        <v>1477</v>
      </c>
      <c r="F57" s="100"/>
    </row>
    <row r="58" spans="1:6">
      <c r="A58" s="126" t="s">
        <v>1417</v>
      </c>
      <c r="B58" s="126" t="s">
        <v>677</v>
      </c>
      <c r="C58" s="127">
        <v>0.42899999999999999</v>
      </c>
      <c r="D58" s="127">
        <v>0.43</v>
      </c>
      <c r="E58" s="126" t="s">
        <v>1478</v>
      </c>
      <c r="F58" s="100"/>
    </row>
    <row r="59" spans="1:6">
      <c r="A59" s="126" t="s">
        <v>1421</v>
      </c>
      <c r="B59" s="126" t="s">
        <v>677</v>
      </c>
      <c r="C59" s="127">
        <v>0.41299999999999998</v>
      </c>
      <c r="D59" s="127">
        <v>0.42399999999999999</v>
      </c>
      <c r="E59" s="128" t="s">
        <v>1558</v>
      </c>
      <c r="F59" s="100"/>
    </row>
    <row r="60" spans="1:6">
      <c r="A60" s="126" t="s">
        <v>1425</v>
      </c>
      <c r="B60" s="126" t="s">
        <v>677</v>
      </c>
      <c r="C60" s="127">
        <v>0.41399999999999998</v>
      </c>
      <c r="D60" s="127">
        <v>0.41699999999999998</v>
      </c>
      <c r="E60" s="126" t="s">
        <v>1479</v>
      </c>
      <c r="F60" s="100"/>
    </row>
    <row r="61" spans="1:6">
      <c r="A61" s="126" t="s">
        <v>1429</v>
      </c>
      <c r="B61" s="126" t="s">
        <v>677</v>
      </c>
      <c r="C61" s="127">
        <v>0.41899999999999998</v>
      </c>
      <c r="D61" s="127">
        <v>0.42199999999999999</v>
      </c>
      <c r="E61" s="126" t="s">
        <v>1479</v>
      </c>
      <c r="F61" s="100"/>
    </row>
    <row r="62" spans="1:6">
      <c r="A62" s="126" t="s">
        <v>1432</v>
      </c>
      <c r="B62" s="126" t="s">
        <v>677</v>
      </c>
      <c r="C62" s="127">
        <v>0.26900000000000002</v>
      </c>
      <c r="D62" s="127">
        <v>0.223</v>
      </c>
      <c r="E62" s="128" t="s">
        <v>1559</v>
      </c>
      <c r="F62" s="100"/>
    </row>
    <row r="63" spans="1:6">
      <c r="A63" s="104"/>
      <c r="B63" s="100"/>
      <c r="C63" s="100"/>
      <c r="D63" s="100"/>
      <c r="E63" s="100"/>
      <c r="F63" s="100"/>
    </row>
    <row r="64" spans="1:6">
      <c r="A64" s="105" t="s">
        <v>1480</v>
      </c>
      <c r="B64" s="100"/>
      <c r="C64" s="100"/>
      <c r="D64" s="100"/>
      <c r="E64" s="100"/>
      <c r="F64" s="100"/>
    </row>
    <row r="65" spans="1:6">
      <c r="A65" s="100"/>
      <c r="B65" s="100"/>
      <c r="C65" s="100"/>
      <c r="D65" s="100"/>
      <c r="E65" s="100"/>
      <c r="F65" s="100"/>
    </row>
    <row r="66" spans="1:6" ht="20.5">
      <c r="A66" s="102" t="s">
        <v>1481</v>
      </c>
      <c r="B66" s="100"/>
      <c r="C66" s="100"/>
      <c r="D66" s="100"/>
      <c r="E66" s="100"/>
      <c r="F66" s="100"/>
    </row>
    <row r="67" spans="1:6">
      <c r="A67" s="100"/>
      <c r="B67" s="100"/>
      <c r="C67" s="100"/>
      <c r="D67" s="100"/>
      <c r="E67" s="100"/>
      <c r="F67" s="100"/>
    </row>
    <row r="68" spans="1:6">
      <c r="A68" s="125" t="s">
        <v>1482</v>
      </c>
      <c r="B68" s="125" t="s">
        <v>1399</v>
      </c>
      <c r="C68" s="125" t="s">
        <v>1400</v>
      </c>
      <c r="D68" s="125" t="s">
        <v>1401</v>
      </c>
      <c r="E68" s="100"/>
      <c r="F68" s="100"/>
    </row>
    <row r="69" spans="1:6">
      <c r="A69" s="126" t="s">
        <v>1483</v>
      </c>
      <c r="B69" s="126" t="s">
        <v>677</v>
      </c>
      <c r="C69" s="127">
        <v>0.36699999999999999</v>
      </c>
      <c r="D69" s="127">
        <v>0.35599999999999998</v>
      </c>
      <c r="E69" s="100"/>
      <c r="F69" s="100"/>
    </row>
    <row r="70" spans="1:6">
      <c r="A70" s="126" t="s">
        <v>1484</v>
      </c>
      <c r="B70" s="126" t="s">
        <v>677</v>
      </c>
      <c r="C70" s="127">
        <v>0.19500000000000001</v>
      </c>
      <c r="D70" s="127">
        <v>0.185</v>
      </c>
      <c r="E70" s="100"/>
      <c r="F70" s="100"/>
    </row>
    <row r="71" spans="1:6">
      <c r="A71" s="126" t="s">
        <v>1485</v>
      </c>
      <c r="B71" s="127">
        <v>3.6999999999999998E-2</v>
      </c>
      <c r="C71" s="127">
        <v>3.4000000000000002E-2</v>
      </c>
      <c r="D71" s="127">
        <v>3.4000000000000002E-2</v>
      </c>
      <c r="E71" s="100"/>
      <c r="F71" s="100"/>
    </row>
    <row r="72" spans="1:6">
      <c r="A72" s="104"/>
      <c r="B72" s="100"/>
      <c r="C72" s="100"/>
      <c r="D72" s="100"/>
      <c r="E72" s="100"/>
      <c r="F72" s="100"/>
    </row>
    <row r="73" spans="1:6">
      <c r="A73" s="105" t="s">
        <v>1486</v>
      </c>
      <c r="B73" s="100"/>
      <c r="C73" s="100"/>
      <c r="D73" s="100"/>
      <c r="E73" s="100"/>
      <c r="F73" s="100"/>
    </row>
    <row r="74" spans="1:6">
      <c r="A74" s="100"/>
      <c r="B74" s="100"/>
      <c r="C74" s="100"/>
      <c r="D74" s="100"/>
      <c r="E74" s="100"/>
      <c r="F74" s="100"/>
    </row>
    <row r="75" spans="1:6">
      <c r="A75" s="100"/>
      <c r="B75" s="100"/>
      <c r="C75" s="100"/>
      <c r="D75" s="100"/>
      <c r="E75" s="100"/>
      <c r="F75" s="100"/>
    </row>
    <row r="76" spans="1:6">
      <c r="A76" s="100"/>
      <c r="B76" s="100"/>
      <c r="C76" s="100"/>
      <c r="D76" s="100"/>
      <c r="E76" s="100"/>
      <c r="F76" s="100"/>
    </row>
    <row r="77" spans="1:6" ht="26">
      <c r="A77" s="101" t="s">
        <v>1487</v>
      </c>
      <c r="B77" s="100"/>
      <c r="C77" s="100"/>
      <c r="D77" s="100"/>
      <c r="E77" s="100"/>
      <c r="F77" s="100"/>
    </row>
    <row r="78" spans="1:6">
      <c r="A78" s="100"/>
      <c r="B78" s="100"/>
      <c r="C78" s="100"/>
      <c r="D78" s="100"/>
      <c r="E78" s="100"/>
      <c r="F78" s="100"/>
    </row>
    <row r="79" spans="1:6" ht="20.5">
      <c r="A79" s="102" t="s">
        <v>1488</v>
      </c>
      <c r="B79" s="100"/>
      <c r="C79" s="100"/>
      <c r="D79" s="100"/>
      <c r="E79" s="100"/>
      <c r="F79" s="100"/>
    </row>
    <row r="80" spans="1:6">
      <c r="A80" s="100"/>
      <c r="B80" s="100"/>
      <c r="C80" s="100"/>
      <c r="D80" s="100"/>
      <c r="E80" s="100"/>
      <c r="F80" s="100"/>
    </row>
    <row r="81" spans="1:6">
      <c r="A81" s="125" t="s">
        <v>1489</v>
      </c>
      <c r="B81" s="125" t="s">
        <v>1399</v>
      </c>
      <c r="C81" s="125" t="s">
        <v>1400</v>
      </c>
      <c r="D81" s="125" t="s">
        <v>1401</v>
      </c>
      <c r="E81" s="125" t="s">
        <v>1490</v>
      </c>
      <c r="F81" s="100"/>
    </row>
    <row r="82" spans="1:6">
      <c r="A82" s="128" t="s">
        <v>218</v>
      </c>
      <c r="B82" s="127">
        <v>0.127</v>
      </c>
      <c r="C82" s="129">
        <v>0.128</v>
      </c>
      <c r="D82" s="129">
        <v>0.105</v>
      </c>
      <c r="E82" s="126" t="s">
        <v>1491</v>
      </c>
      <c r="F82" s="100"/>
    </row>
    <row r="83" spans="1:6">
      <c r="A83" s="128" t="s">
        <v>1492</v>
      </c>
      <c r="B83" s="127">
        <v>7.4999999999999997E-2</v>
      </c>
      <c r="C83" s="127">
        <v>6.9000000000000006E-2</v>
      </c>
      <c r="D83" s="127">
        <v>7.6999999999999999E-2</v>
      </c>
      <c r="E83" s="126" t="s">
        <v>1493</v>
      </c>
      <c r="F83" s="100"/>
    </row>
    <row r="84" spans="1:6">
      <c r="A84" s="128" t="s">
        <v>1197</v>
      </c>
      <c r="B84" s="127">
        <v>3.6999999999999998E-2</v>
      </c>
      <c r="C84" s="127">
        <v>3.4000000000000002E-2</v>
      </c>
      <c r="D84" s="127">
        <v>3.4000000000000002E-2</v>
      </c>
      <c r="E84" s="126" t="s">
        <v>1494</v>
      </c>
      <c r="F84" s="100"/>
    </row>
    <row r="85" spans="1:6">
      <c r="A85" s="128" t="s">
        <v>205</v>
      </c>
      <c r="B85" s="127">
        <v>9.1999999999999998E-2</v>
      </c>
      <c r="C85" s="127">
        <v>8.5000000000000006E-2</v>
      </c>
      <c r="D85" s="127">
        <v>8.4000000000000005E-2</v>
      </c>
      <c r="E85" s="126" t="s">
        <v>1495</v>
      </c>
      <c r="F85" s="100"/>
    </row>
    <row r="86" spans="1:6">
      <c r="A86" s="100"/>
      <c r="B86" s="100"/>
      <c r="C86" s="100"/>
      <c r="D86" s="100"/>
      <c r="E86" s="100"/>
      <c r="F86" s="100"/>
    </row>
    <row r="87" spans="1:6" ht="20.5">
      <c r="A87" s="102" t="s">
        <v>1496</v>
      </c>
      <c r="B87" s="100"/>
      <c r="C87" s="100"/>
      <c r="D87" s="100"/>
      <c r="E87" s="100"/>
      <c r="F87" s="100"/>
    </row>
    <row r="88" spans="1:6">
      <c r="A88" s="100"/>
      <c r="B88" s="100"/>
      <c r="C88" s="100"/>
      <c r="D88" s="100"/>
      <c r="E88" s="100"/>
      <c r="F88" s="100"/>
    </row>
    <row r="89" spans="1:6">
      <c r="A89" s="125" t="s">
        <v>1149</v>
      </c>
      <c r="B89" s="125" t="s">
        <v>1399</v>
      </c>
      <c r="C89" s="125" t="s">
        <v>1400</v>
      </c>
      <c r="D89" s="125" t="s">
        <v>1401</v>
      </c>
      <c r="E89" s="125" t="s">
        <v>1150</v>
      </c>
      <c r="F89" s="100"/>
    </row>
    <row r="90" spans="1:6">
      <c r="A90" s="128" t="s">
        <v>36</v>
      </c>
      <c r="B90" s="127">
        <v>0.114</v>
      </c>
      <c r="C90" s="127">
        <v>0.114</v>
      </c>
      <c r="D90" s="127">
        <v>0.11700000000000001</v>
      </c>
      <c r="E90" s="126" t="s">
        <v>1497</v>
      </c>
      <c r="F90" s="100"/>
    </row>
    <row r="91" spans="1:6">
      <c r="A91" s="128" t="s">
        <v>1498</v>
      </c>
      <c r="B91" s="127">
        <v>0.113</v>
      </c>
      <c r="C91" s="127">
        <v>0.124</v>
      </c>
      <c r="D91" s="127">
        <v>0.13500000000000001</v>
      </c>
      <c r="E91" s="128" t="s">
        <v>1560</v>
      </c>
      <c r="F91" s="100"/>
    </row>
    <row r="92" spans="1:6">
      <c r="A92" s="126" t="s">
        <v>1499</v>
      </c>
      <c r="B92" s="127">
        <v>0.16400000000000001</v>
      </c>
      <c r="C92" s="127">
        <v>0.156</v>
      </c>
      <c r="D92" s="127">
        <v>0.159</v>
      </c>
      <c r="E92" s="126" t="s">
        <v>1500</v>
      </c>
      <c r="F92" s="100"/>
    </row>
    <row r="93" spans="1:6">
      <c r="A93" s="104"/>
      <c r="B93" s="100"/>
      <c r="C93" s="100"/>
      <c r="D93" s="100"/>
      <c r="E93" s="100"/>
      <c r="F93" s="100"/>
    </row>
    <row r="94" spans="1:6">
      <c r="A94" s="105" t="s">
        <v>1501</v>
      </c>
      <c r="B94" s="100"/>
      <c r="C94" s="100"/>
      <c r="D94" s="100"/>
      <c r="E94" s="100"/>
      <c r="F94" s="100"/>
    </row>
    <row r="95" spans="1:6">
      <c r="A95" s="104"/>
      <c r="B95" s="100"/>
      <c r="C95" s="100"/>
      <c r="D95" s="100"/>
      <c r="E95" s="100"/>
      <c r="F95" s="100"/>
    </row>
    <row r="96" spans="1:6">
      <c r="A96" s="105" t="s">
        <v>1561</v>
      </c>
      <c r="B96" s="100"/>
      <c r="C96" s="100"/>
      <c r="D96" s="100"/>
      <c r="E96" s="100"/>
      <c r="F96" s="100"/>
    </row>
    <row r="97" spans="1:6">
      <c r="A97" s="105" t="s">
        <v>1562</v>
      </c>
      <c r="B97" s="100"/>
      <c r="C97" s="100"/>
      <c r="D97" s="100"/>
      <c r="E97" s="100"/>
      <c r="F97" s="100"/>
    </row>
    <row r="98" spans="1:6">
      <c r="A98" s="105" t="s">
        <v>1563</v>
      </c>
      <c r="B98" s="100"/>
      <c r="C98" s="100"/>
      <c r="D98" s="100"/>
      <c r="E98" s="100"/>
      <c r="F98" s="100"/>
    </row>
    <row r="99" spans="1:6">
      <c r="A99" s="100"/>
      <c r="B99" s="100"/>
      <c r="C99" s="100"/>
      <c r="D99" s="100"/>
      <c r="E99" s="100"/>
      <c r="F99" s="100"/>
    </row>
    <row r="100" spans="1:6">
      <c r="A100" s="100"/>
      <c r="B100" s="100"/>
      <c r="C100" s="100"/>
      <c r="D100" s="100"/>
      <c r="E100" s="100"/>
      <c r="F100" s="100"/>
    </row>
    <row r="101" spans="1:6">
      <c r="A101" s="100"/>
      <c r="B101" s="100"/>
      <c r="C101" s="100"/>
      <c r="D101" s="100"/>
      <c r="E101" s="100"/>
      <c r="F101" s="100"/>
    </row>
    <row r="102" spans="1:6" ht="26">
      <c r="A102" s="101" t="s">
        <v>1502</v>
      </c>
      <c r="B102" s="100"/>
      <c r="C102" s="100"/>
      <c r="D102" s="100"/>
      <c r="E102" s="100"/>
      <c r="F102" s="100"/>
    </row>
    <row r="103" spans="1:6">
      <c r="A103" s="100"/>
      <c r="B103" s="100"/>
      <c r="C103" s="100"/>
      <c r="D103" s="100"/>
      <c r="E103" s="100"/>
      <c r="F103" s="100"/>
    </row>
    <row r="104" spans="1:6" ht="20.5">
      <c r="A104" s="102" t="s">
        <v>1503</v>
      </c>
      <c r="B104" s="100"/>
      <c r="C104" s="100"/>
      <c r="D104" s="100"/>
      <c r="E104" s="100"/>
      <c r="F104" s="100"/>
    </row>
    <row r="105" spans="1:6">
      <c r="A105" s="100"/>
      <c r="B105" s="100"/>
      <c r="C105" s="100"/>
      <c r="D105" s="100"/>
      <c r="E105" s="100"/>
      <c r="F105" s="100"/>
    </row>
    <row r="106" spans="1:6">
      <c r="A106" s="125" t="s">
        <v>1149</v>
      </c>
      <c r="B106" s="125" t="s">
        <v>1399</v>
      </c>
      <c r="C106" s="125" t="s">
        <v>1400</v>
      </c>
      <c r="D106" s="125" t="s">
        <v>1401</v>
      </c>
      <c r="E106" s="125" t="s">
        <v>1150</v>
      </c>
      <c r="F106" s="100"/>
    </row>
    <row r="107" spans="1:6">
      <c r="A107" s="128" t="s">
        <v>223</v>
      </c>
      <c r="B107" s="126" t="s">
        <v>1504</v>
      </c>
      <c r="C107" s="126" t="s">
        <v>1505</v>
      </c>
      <c r="D107" s="126" t="s">
        <v>1506</v>
      </c>
      <c r="E107" s="126" t="s">
        <v>1507</v>
      </c>
      <c r="F107" s="100"/>
    </row>
    <row r="108" spans="1:6">
      <c r="A108" s="126" t="s">
        <v>1508</v>
      </c>
      <c r="B108" s="126" t="s">
        <v>677</v>
      </c>
      <c r="C108" s="126" t="s">
        <v>1509</v>
      </c>
      <c r="D108" s="126" t="s">
        <v>1509</v>
      </c>
      <c r="E108" s="126" t="s">
        <v>1424</v>
      </c>
      <c r="F108" s="100"/>
    </row>
    <row r="109" spans="1:6">
      <c r="A109" s="126" t="s">
        <v>1510</v>
      </c>
      <c r="B109" s="126" t="s">
        <v>1511</v>
      </c>
      <c r="C109" s="126" t="s">
        <v>1512</v>
      </c>
      <c r="D109" s="126" t="s">
        <v>1513</v>
      </c>
      <c r="E109" s="126" t="s">
        <v>1514</v>
      </c>
      <c r="F109" s="100"/>
    </row>
    <row r="110" spans="1:6">
      <c r="A110" s="128" t="s">
        <v>1515</v>
      </c>
      <c r="B110" s="126" t="s">
        <v>1516</v>
      </c>
      <c r="C110" s="126" t="s">
        <v>1517</v>
      </c>
      <c r="D110" s="126" t="s">
        <v>1518</v>
      </c>
      <c r="E110" s="126" t="s">
        <v>1519</v>
      </c>
      <c r="F110" s="100"/>
    </row>
    <row r="111" spans="1:6">
      <c r="A111" s="100"/>
      <c r="B111" s="100"/>
      <c r="C111" s="100"/>
      <c r="D111" s="100"/>
      <c r="E111" s="100"/>
      <c r="F111" s="100"/>
    </row>
    <row r="112" spans="1:6" ht="20.5">
      <c r="A112" s="102" t="s">
        <v>1520</v>
      </c>
      <c r="B112" s="100"/>
      <c r="C112" s="100"/>
      <c r="D112" s="100"/>
      <c r="E112" s="100"/>
      <c r="F112" s="100"/>
    </row>
    <row r="113" spans="1:6">
      <c r="A113" s="100"/>
      <c r="B113" s="100"/>
      <c r="C113" s="100"/>
      <c r="D113" s="100"/>
      <c r="E113" s="100"/>
      <c r="F113" s="100"/>
    </row>
    <row r="114" spans="1:6">
      <c r="A114" s="125" t="s">
        <v>1149</v>
      </c>
      <c r="B114" s="125" t="s">
        <v>1400</v>
      </c>
      <c r="C114" s="125" t="s">
        <v>1401</v>
      </c>
      <c r="D114" s="100"/>
      <c r="E114" s="100"/>
      <c r="F114" s="100"/>
    </row>
    <row r="115" spans="1:6">
      <c r="A115" s="126" t="s">
        <v>1521</v>
      </c>
      <c r="B115" s="126" t="s">
        <v>677</v>
      </c>
      <c r="C115" s="126" t="s">
        <v>1522</v>
      </c>
      <c r="D115" s="100"/>
      <c r="E115" s="100"/>
      <c r="F115" s="100"/>
    </row>
    <row r="116" spans="1:6">
      <c r="A116" s="126" t="s">
        <v>1523</v>
      </c>
      <c r="B116" s="126" t="s">
        <v>1524</v>
      </c>
      <c r="C116" s="126" t="s">
        <v>1525</v>
      </c>
      <c r="D116" s="100"/>
      <c r="E116" s="100"/>
      <c r="F116" s="100"/>
    </row>
    <row r="117" spans="1:6">
      <c r="A117" s="126" t="s">
        <v>1526</v>
      </c>
      <c r="B117" s="126" t="s">
        <v>1527</v>
      </c>
      <c r="C117" s="126" t="s">
        <v>1528</v>
      </c>
      <c r="D117" s="100"/>
      <c r="E117" s="100"/>
      <c r="F117" s="100"/>
    </row>
    <row r="118" spans="1:6">
      <c r="A118" s="128" t="s">
        <v>1529</v>
      </c>
      <c r="B118" s="128" t="s">
        <v>1530</v>
      </c>
      <c r="C118" s="128" t="s">
        <v>1564</v>
      </c>
      <c r="D118" s="100"/>
      <c r="E118" s="100"/>
      <c r="F118" s="100"/>
    </row>
    <row r="119" spans="1:6">
      <c r="A119" s="104"/>
      <c r="B119" s="100"/>
      <c r="C119" s="100"/>
      <c r="D119" s="100"/>
      <c r="E119" s="100"/>
      <c r="F119" s="100"/>
    </row>
    <row r="120" spans="1:6">
      <c r="A120" s="105" t="s">
        <v>1501</v>
      </c>
      <c r="B120" s="100"/>
      <c r="C120" s="100"/>
      <c r="D120" s="100"/>
      <c r="E120" s="100"/>
      <c r="F120" s="100"/>
    </row>
    <row r="121" spans="1:6">
      <c r="A121" s="104"/>
      <c r="B121" s="100"/>
      <c r="C121" s="100"/>
      <c r="D121" s="100"/>
      <c r="E121" s="100"/>
      <c r="F121" s="100"/>
    </row>
    <row r="122" spans="1:6">
      <c r="A122" s="105" t="s">
        <v>1565</v>
      </c>
      <c r="B122" s="100"/>
      <c r="C122" s="100"/>
      <c r="D122" s="100"/>
      <c r="E122" s="100"/>
      <c r="F122" s="100"/>
    </row>
    <row r="123" spans="1:6">
      <c r="A123" s="105" t="s">
        <v>1566</v>
      </c>
      <c r="B123" s="100"/>
      <c r="C123" s="100"/>
      <c r="D123" s="100"/>
      <c r="E123" s="100"/>
      <c r="F123" s="100"/>
    </row>
    <row r="124" spans="1:6">
      <c r="A124" s="105" t="s">
        <v>1567</v>
      </c>
      <c r="B124" s="100"/>
      <c r="C124" s="100"/>
      <c r="D124" s="100"/>
      <c r="E124" s="100"/>
      <c r="F124" s="100"/>
    </row>
    <row r="125" spans="1:6">
      <c r="A125" s="100"/>
      <c r="B125" s="100"/>
      <c r="C125" s="100"/>
      <c r="D125" s="100"/>
      <c r="E125" s="100"/>
      <c r="F125" s="100"/>
    </row>
    <row r="126" spans="1:6">
      <c r="A126" s="100"/>
      <c r="B126" s="100"/>
      <c r="C126" s="100"/>
      <c r="D126" s="100"/>
      <c r="E126" s="100"/>
      <c r="F126" s="100"/>
    </row>
    <row r="127" spans="1:6">
      <c r="A127" s="100"/>
      <c r="B127" s="100"/>
      <c r="C127" s="100"/>
      <c r="D127" s="100"/>
      <c r="E127" s="100"/>
      <c r="F127" s="100"/>
    </row>
    <row r="128" spans="1:6" ht="26">
      <c r="A128" s="101" t="s">
        <v>1531</v>
      </c>
      <c r="B128" s="100"/>
      <c r="C128" s="100"/>
      <c r="D128" s="100"/>
      <c r="E128" s="100"/>
      <c r="F128" s="100"/>
    </row>
    <row r="129" spans="1:6">
      <c r="A129" s="100"/>
      <c r="B129" s="100"/>
      <c r="C129" s="100"/>
      <c r="D129" s="100"/>
      <c r="E129" s="100"/>
      <c r="F129" s="100"/>
    </row>
    <row r="130" spans="1:6">
      <c r="A130" s="125" t="s">
        <v>1532</v>
      </c>
      <c r="B130" s="125" t="s">
        <v>1533</v>
      </c>
      <c r="C130" s="100"/>
      <c r="D130" s="100"/>
      <c r="E130" s="100"/>
      <c r="F130" s="100"/>
    </row>
    <row r="131" spans="1:6">
      <c r="A131" s="128" t="s">
        <v>1534</v>
      </c>
      <c r="B131" s="126" t="s">
        <v>1535</v>
      </c>
      <c r="C131" s="100"/>
      <c r="D131" s="100"/>
      <c r="E131" s="100"/>
      <c r="F131" s="100"/>
    </row>
    <row r="132" spans="1:6">
      <c r="A132" s="128" t="s">
        <v>1536</v>
      </c>
      <c r="B132" s="126" t="s">
        <v>1537</v>
      </c>
      <c r="C132" s="100"/>
      <c r="D132" s="100"/>
      <c r="E132" s="100"/>
      <c r="F132" s="100"/>
    </row>
    <row r="133" spans="1:6">
      <c r="A133" s="128" t="s">
        <v>1538</v>
      </c>
      <c r="B133" s="126" t="s">
        <v>1539</v>
      </c>
      <c r="C133" s="100"/>
      <c r="D133" s="100"/>
      <c r="E133" s="100"/>
      <c r="F133" s="100"/>
    </row>
    <row r="134" spans="1:6">
      <c r="A134" s="128" t="s">
        <v>1540</v>
      </c>
      <c r="B134" s="126" t="s">
        <v>1541</v>
      </c>
      <c r="C134" s="100"/>
      <c r="D134" s="100"/>
      <c r="E134" s="100"/>
      <c r="F134" s="100"/>
    </row>
    <row r="135" spans="1:6">
      <c r="A135" s="104"/>
      <c r="B135" s="100"/>
      <c r="C135" s="100"/>
      <c r="D135" s="100"/>
      <c r="E135" s="100"/>
      <c r="F135" s="100"/>
    </row>
    <row r="136" spans="1:6">
      <c r="A136" s="105" t="s">
        <v>1542</v>
      </c>
      <c r="B136" s="100"/>
      <c r="C136" s="100"/>
      <c r="D136" s="100"/>
      <c r="E136" s="100"/>
      <c r="F136" s="100"/>
    </row>
    <row r="137" spans="1:6">
      <c r="A137" s="100"/>
      <c r="B137" s="100"/>
      <c r="C137" s="100"/>
      <c r="D137" s="100"/>
      <c r="E137" s="100"/>
      <c r="F137" s="100"/>
    </row>
    <row r="138" spans="1:6">
      <c r="A138" s="100"/>
      <c r="B138" s="100"/>
      <c r="C138" s="100"/>
      <c r="D138" s="100"/>
      <c r="E138" s="100"/>
      <c r="F138" s="100"/>
    </row>
    <row r="139" spans="1:6">
      <c r="A139" s="100"/>
      <c r="B139" s="100"/>
      <c r="C139" s="100"/>
      <c r="D139" s="100"/>
      <c r="E139" s="100"/>
      <c r="F139" s="100"/>
    </row>
    <row r="140" spans="1:6" ht="26">
      <c r="A140" s="101" t="s">
        <v>1543</v>
      </c>
      <c r="B140" s="100"/>
      <c r="C140" s="100"/>
      <c r="D140" s="100"/>
      <c r="E140" s="100"/>
      <c r="F140" s="100"/>
    </row>
    <row r="141" spans="1:6">
      <c r="A141" s="100"/>
      <c r="B141" s="100"/>
      <c r="C141" s="100"/>
      <c r="D141" s="100"/>
      <c r="E141" s="100"/>
      <c r="F141" s="100"/>
    </row>
    <row r="142" spans="1:6" ht="20.5">
      <c r="A142" s="102" t="s">
        <v>1544</v>
      </c>
      <c r="B142" s="100"/>
      <c r="C142" s="100"/>
      <c r="D142" s="100"/>
      <c r="E142" s="100"/>
      <c r="F142" s="100"/>
    </row>
    <row r="143" spans="1:6">
      <c r="A143" s="100"/>
      <c r="B143" s="100"/>
      <c r="C143" s="100"/>
      <c r="D143" s="100"/>
      <c r="E143" s="100"/>
      <c r="F143" s="100"/>
    </row>
    <row r="144" spans="1:6">
      <c r="A144" s="125" t="s">
        <v>1149</v>
      </c>
      <c r="B144" s="125" t="s">
        <v>1545</v>
      </c>
      <c r="C144" s="125" t="s">
        <v>1546</v>
      </c>
      <c r="D144" s="125" t="s">
        <v>1399</v>
      </c>
      <c r="E144" s="125" t="s">
        <v>1400</v>
      </c>
      <c r="F144" s="125" t="s">
        <v>1401</v>
      </c>
    </row>
    <row r="145" spans="1:6">
      <c r="A145" s="126" t="s">
        <v>1547</v>
      </c>
      <c r="B145" s="126" t="s">
        <v>677</v>
      </c>
      <c r="C145" s="126" t="s">
        <v>677</v>
      </c>
      <c r="D145" s="126">
        <v>84.2</v>
      </c>
      <c r="E145" s="126">
        <v>100.7</v>
      </c>
      <c r="F145" s="126">
        <v>111.5</v>
      </c>
    </row>
    <row r="146" spans="1:6">
      <c r="A146" s="126" t="s">
        <v>1548</v>
      </c>
      <c r="B146" s="126">
        <v>6</v>
      </c>
      <c r="C146" s="126">
        <v>7.5</v>
      </c>
      <c r="D146" s="126">
        <v>9.6</v>
      </c>
      <c r="E146" s="126">
        <v>11.5</v>
      </c>
      <c r="F146" s="126">
        <v>13.1</v>
      </c>
    </row>
    <row r="147" spans="1:6">
      <c r="A147" s="126" t="s">
        <v>29</v>
      </c>
      <c r="B147" s="126" t="s">
        <v>677</v>
      </c>
      <c r="C147" s="126" t="s">
        <v>677</v>
      </c>
      <c r="D147" s="127">
        <v>0.41099999999999998</v>
      </c>
      <c r="E147" s="127">
        <v>0.41499999999999998</v>
      </c>
      <c r="F147" s="127">
        <v>0.41499999999999998</v>
      </c>
    </row>
    <row r="148" spans="1:6">
      <c r="A148" s="126" t="s">
        <v>1498</v>
      </c>
      <c r="B148" s="127">
        <v>8.7999999999999995E-2</v>
      </c>
      <c r="C148" s="127">
        <v>9.9000000000000005E-2</v>
      </c>
      <c r="D148" s="127">
        <v>0.113</v>
      </c>
      <c r="E148" s="127">
        <v>0.124</v>
      </c>
      <c r="F148" s="127">
        <v>0.13500000000000001</v>
      </c>
    </row>
    <row r="149" spans="1:6">
      <c r="A149" s="126" t="s">
        <v>218</v>
      </c>
      <c r="B149" s="127">
        <v>0.127</v>
      </c>
      <c r="C149" s="127">
        <v>0.10199999999999999</v>
      </c>
      <c r="D149" s="127">
        <v>0.127</v>
      </c>
      <c r="E149" s="127">
        <v>0.128</v>
      </c>
      <c r="F149" s="127">
        <v>0.105</v>
      </c>
    </row>
    <row r="150" spans="1:6">
      <c r="A150" s="100"/>
      <c r="B150" s="100"/>
      <c r="C150" s="100"/>
      <c r="D150" s="100"/>
      <c r="E150" s="100"/>
      <c r="F150" s="100"/>
    </row>
    <row r="151" spans="1:6" ht="20.5">
      <c r="A151" s="102" t="s">
        <v>1549</v>
      </c>
      <c r="B151" s="100"/>
      <c r="C151" s="100"/>
      <c r="D151" s="100"/>
      <c r="E151" s="100"/>
      <c r="F151" s="100"/>
    </row>
    <row r="152" spans="1:6">
      <c r="A152" s="104"/>
      <c r="B152" s="100"/>
      <c r="C152" s="100"/>
      <c r="D152" s="100"/>
      <c r="E152" s="100"/>
      <c r="F152" s="100"/>
    </row>
    <row r="153" spans="1:6">
      <c r="A153" s="105" t="s">
        <v>1568</v>
      </c>
      <c r="B153" s="100"/>
      <c r="C153" s="100"/>
      <c r="D153" s="100"/>
      <c r="E153" s="100"/>
      <c r="F153" s="100"/>
    </row>
    <row r="154" spans="1:6">
      <c r="A154" s="106"/>
      <c r="B154" s="100"/>
      <c r="C154" s="100"/>
      <c r="D154" s="100"/>
      <c r="E154" s="100"/>
      <c r="F154" s="100"/>
    </row>
    <row r="155" spans="1:6">
      <c r="A155" s="106" t="s">
        <v>1550</v>
      </c>
      <c r="B155" s="100"/>
      <c r="C155" s="100"/>
      <c r="D155" s="100"/>
      <c r="E155" s="100"/>
      <c r="F155" s="100"/>
    </row>
    <row r="156" spans="1:6">
      <c r="A156" s="106" t="s">
        <v>1551</v>
      </c>
      <c r="B156" s="100"/>
      <c r="C156" s="100"/>
      <c r="D156" s="100"/>
      <c r="E156" s="100"/>
      <c r="F156" s="100"/>
    </row>
    <row r="157" spans="1:6">
      <c r="A157" s="105" t="s">
        <v>1569</v>
      </c>
      <c r="B157" s="100"/>
      <c r="C157" s="100"/>
      <c r="D157" s="100"/>
      <c r="E157" s="100"/>
      <c r="F157" s="100"/>
    </row>
    <row r="158" spans="1:6">
      <c r="A158" s="106"/>
      <c r="B158" s="100"/>
      <c r="C158" s="100"/>
      <c r="D158" s="100"/>
      <c r="E158" s="100"/>
      <c r="F158" s="100"/>
    </row>
    <row r="159" spans="1:6">
      <c r="A159" s="106" t="s">
        <v>1552</v>
      </c>
      <c r="B159" s="100"/>
      <c r="C159" s="100"/>
      <c r="D159" s="100"/>
      <c r="E159" s="100"/>
      <c r="F159" s="100"/>
    </row>
    <row r="160" spans="1:6">
      <c r="A160" s="106" t="s">
        <v>1553</v>
      </c>
      <c r="B160" s="100"/>
      <c r="C160" s="100"/>
      <c r="D160" s="100"/>
      <c r="E160" s="100"/>
      <c r="F160" s="100"/>
    </row>
    <row r="161" spans="1:6">
      <c r="A161" s="105" t="s">
        <v>1570</v>
      </c>
      <c r="B161" s="100"/>
      <c r="C161" s="100"/>
      <c r="D161" s="100"/>
      <c r="E161" s="100"/>
      <c r="F161" s="100"/>
    </row>
    <row r="162" spans="1:6">
      <c r="A162" s="106"/>
      <c r="B162" s="100"/>
      <c r="C162" s="100"/>
      <c r="D162" s="100"/>
      <c r="E162" s="100"/>
      <c r="F162" s="100"/>
    </row>
    <row r="163" spans="1:6">
      <c r="A163" s="106" t="s">
        <v>1554</v>
      </c>
      <c r="B163" s="100"/>
      <c r="C163" s="100"/>
      <c r="D163" s="100"/>
      <c r="E163" s="100"/>
      <c r="F163" s="100"/>
    </row>
    <row r="164" spans="1:6">
      <c r="A164" s="100"/>
      <c r="B164" s="100"/>
      <c r="C164" s="100"/>
      <c r="D164" s="100"/>
      <c r="E164" s="100"/>
      <c r="F164" s="100"/>
    </row>
    <row r="165" spans="1:6">
      <c r="A165" s="100"/>
      <c r="B165" s="100"/>
      <c r="C165" s="100"/>
      <c r="D165" s="100"/>
      <c r="E165" s="100"/>
      <c r="F165" s="100"/>
    </row>
    <row r="166" spans="1:6">
      <c r="A166" s="103" t="s">
        <v>1571</v>
      </c>
      <c r="B166" s="100"/>
      <c r="C166" s="100"/>
      <c r="D166" s="100"/>
      <c r="E166" s="100"/>
      <c r="F166" s="10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6A53-C9C2-4E03-BF06-CC21ED2CB4A7}">
  <dimension ref="A1:G1000"/>
  <sheetViews>
    <sheetView topLeftCell="A107" workbookViewId="0">
      <selection activeCell="G123" sqref="G123"/>
    </sheetView>
  </sheetViews>
  <sheetFormatPr defaultRowHeight="14.5"/>
  <cols>
    <col min="1" max="1" width="8.7265625" style="57"/>
  </cols>
  <sheetData>
    <row r="1" spans="1:7" ht="30">
      <c r="A1" s="107" t="s">
        <v>1572</v>
      </c>
      <c r="B1" s="108"/>
      <c r="C1" s="108"/>
      <c r="D1" s="108"/>
      <c r="E1" s="108"/>
      <c r="F1" s="108"/>
      <c r="G1" s="108"/>
    </row>
    <row r="2" spans="1:7" ht="23">
      <c r="A2" s="109" t="s">
        <v>1397</v>
      </c>
      <c r="B2" s="108"/>
      <c r="C2" s="108"/>
      <c r="D2" s="108"/>
      <c r="E2" s="108"/>
      <c r="F2" s="108"/>
      <c r="G2" s="108"/>
    </row>
    <row r="3" spans="1:7" ht="18">
      <c r="A3" s="110" t="s">
        <v>1398</v>
      </c>
      <c r="B3" s="108"/>
      <c r="C3" s="108"/>
      <c r="D3" s="108"/>
      <c r="E3" s="108"/>
      <c r="F3" s="108"/>
      <c r="G3" s="108"/>
    </row>
    <row r="4" spans="1:7" ht="26.5">
      <c r="A4" s="118" t="s">
        <v>1149</v>
      </c>
      <c r="B4" s="114" t="s">
        <v>1399</v>
      </c>
      <c r="C4" s="114" t="s">
        <v>1400</v>
      </c>
      <c r="D4" s="114" t="s">
        <v>1401</v>
      </c>
      <c r="E4" s="114" t="s">
        <v>1402</v>
      </c>
      <c r="F4" s="108"/>
      <c r="G4" s="108"/>
    </row>
    <row r="5" spans="1:7" ht="26">
      <c r="A5" s="119" t="s">
        <v>1573</v>
      </c>
      <c r="B5" s="115" t="s">
        <v>1574</v>
      </c>
      <c r="C5" s="115" t="s">
        <v>1575</v>
      </c>
      <c r="D5" s="115" t="s">
        <v>1576</v>
      </c>
      <c r="E5" s="116">
        <v>0.13300000000000001</v>
      </c>
      <c r="F5" s="108"/>
      <c r="G5" s="108"/>
    </row>
    <row r="6" spans="1:7">
      <c r="A6" s="119" t="s">
        <v>1407</v>
      </c>
      <c r="B6" s="115" t="s">
        <v>677</v>
      </c>
      <c r="C6" s="116">
        <v>0.13600000000000001</v>
      </c>
      <c r="D6" s="116">
        <v>0.13300000000000001</v>
      </c>
      <c r="E6" s="115" t="s">
        <v>1577</v>
      </c>
      <c r="F6" s="108"/>
      <c r="G6" s="108"/>
    </row>
    <row r="7" spans="1:7" ht="26">
      <c r="A7" s="119" t="s">
        <v>1578</v>
      </c>
      <c r="B7" s="115" t="s">
        <v>1579</v>
      </c>
      <c r="C7" s="115" t="s">
        <v>1580</v>
      </c>
      <c r="D7" s="115" t="s">
        <v>1581</v>
      </c>
      <c r="E7" s="117">
        <v>-0.129</v>
      </c>
      <c r="F7" s="108"/>
      <c r="G7" s="108"/>
    </row>
    <row r="8" spans="1:7" ht="26">
      <c r="A8" s="119" t="s">
        <v>1582</v>
      </c>
      <c r="B8" s="115" t="s">
        <v>1583</v>
      </c>
      <c r="C8" s="115" t="s">
        <v>1584</v>
      </c>
      <c r="D8" s="115" t="s">
        <v>1585</v>
      </c>
      <c r="E8" s="116">
        <v>5.6000000000000001E-2</v>
      </c>
      <c r="F8" s="108"/>
      <c r="G8" s="108"/>
    </row>
    <row r="9" spans="1:7" ht="26">
      <c r="A9" s="119" t="s">
        <v>1586</v>
      </c>
      <c r="B9" s="117">
        <v>0.17599999999999999</v>
      </c>
      <c r="C9" s="117">
        <v>0.16600000000000001</v>
      </c>
      <c r="D9" s="117">
        <v>0.154</v>
      </c>
      <c r="E9" s="115" t="s">
        <v>1587</v>
      </c>
      <c r="F9" s="108"/>
      <c r="G9" s="108"/>
    </row>
    <row r="10" spans="1:7">
      <c r="A10" s="27"/>
      <c r="B10" s="108"/>
      <c r="C10" s="108"/>
      <c r="D10" s="108"/>
      <c r="E10" s="108"/>
      <c r="F10" s="108"/>
      <c r="G10" s="108"/>
    </row>
    <row r="11" spans="1:7">
      <c r="A11" s="112" t="s">
        <v>1588</v>
      </c>
      <c r="B11" s="108"/>
      <c r="C11" s="108"/>
      <c r="D11" s="108"/>
      <c r="E11" s="108"/>
      <c r="F11" s="108"/>
      <c r="G11" s="108"/>
    </row>
    <row r="12" spans="1:7" ht="18">
      <c r="A12" s="110" t="s">
        <v>1589</v>
      </c>
      <c r="B12" s="108"/>
      <c r="C12" s="108"/>
      <c r="D12" s="108"/>
      <c r="E12" s="108"/>
      <c r="F12" s="108"/>
      <c r="G12" s="108"/>
    </row>
    <row r="13" spans="1:7">
      <c r="A13" s="118" t="s">
        <v>1449</v>
      </c>
      <c r="B13" s="114" t="s">
        <v>1399</v>
      </c>
      <c r="C13" s="114" t="s">
        <v>1400</v>
      </c>
      <c r="D13" s="114" t="s">
        <v>1401</v>
      </c>
      <c r="E13" s="114" t="s">
        <v>1416</v>
      </c>
      <c r="F13" s="108"/>
      <c r="G13" s="108"/>
    </row>
    <row r="14" spans="1:7" ht="26">
      <c r="A14" s="119" t="s">
        <v>1590</v>
      </c>
      <c r="B14" s="115" t="s">
        <v>1591</v>
      </c>
      <c r="C14" s="115" t="s">
        <v>1592</v>
      </c>
      <c r="D14" s="115" t="s">
        <v>1593</v>
      </c>
      <c r="E14" s="115" t="s">
        <v>1420</v>
      </c>
      <c r="F14" s="108"/>
      <c r="G14" s="108"/>
    </row>
    <row r="15" spans="1:7" ht="26">
      <c r="A15" s="119" t="s">
        <v>1594</v>
      </c>
      <c r="B15" s="115" t="s">
        <v>1595</v>
      </c>
      <c r="C15" s="115" t="s">
        <v>1596</v>
      </c>
      <c r="D15" s="115" t="s">
        <v>1597</v>
      </c>
      <c r="E15" s="115" t="s">
        <v>1420</v>
      </c>
      <c r="F15" s="108"/>
      <c r="G15" s="108"/>
    </row>
    <row r="16" spans="1:7" ht="26">
      <c r="A16" s="119" t="s">
        <v>1598</v>
      </c>
      <c r="B16" s="115" t="s">
        <v>1599</v>
      </c>
      <c r="C16" s="115" t="s">
        <v>1600</v>
      </c>
      <c r="D16" s="115" t="s">
        <v>1601</v>
      </c>
      <c r="E16" s="115" t="s">
        <v>1602</v>
      </c>
      <c r="F16" s="108"/>
      <c r="G16" s="108"/>
    </row>
    <row r="17" spans="1:7">
      <c r="A17" s="27"/>
      <c r="B17" s="108"/>
      <c r="C17" s="108"/>
      <c r="D17" s="108"/>
      <c r="E17" s="108"/>
      <c r="F17" s="108"/>
      <c r="G17" s="108"/>
    </row>
    <row r="18" spans="1:7">
      <c r="A18" s="112" t="s">
        <v>1603</v>
      </c>
      <c r="B18" s="108"/>
      <c r="C18" s="108"/>
      <c r="D18" s="108"/>
      <c r="E18" s="108"/>
      <c r="F18" s="108"/>
      <c r="G18" s="108"/>
    </row>
    <row r="19" spans="1:7" ht="18">
      <c r="A19" s="120" t="s">
        <v>1604</v>
      </c>
      <c r="B19" s="108"/>
      <c r="C19" s="108"/>
      <c r="D19" s="108"/>
      <c r="E19" s="108"/>
      <c r="F19" s="108"/>
      <c r="G19" s="108"/>
    </row>
    <row r="20" spans="1:7">
      <c r="A20" s="118" t="s">
        <v>1415</v>
      </c>
      <c r="B20" s="114" t="s">
        <v>1401</v>
      </c>
      <c r="C20" s="114" t="s">
        <v>1605</v>
      </c>
      <c r="D20" s="114" t="s">
        <v>1606</v>
      </c>
      <c r="E20" s="108"/>
      <c r="F20" s="108"/>
      <c r="G20" s="108"/>
    </row>
    <row r="21" spans="1:7">
      <c r="A21" s="119" t="s">
        <v>1607</v>
      </c>
      <c r="B21" s="115" t="s">
        <v>1608</v>
      </c>
      <c r="C21" s="117">
        <v>0.57099999999999995</v>
      </c>
      <c r="D21" s="116">
        <v>0.16300000000000001</v>
      </c>
      <c r="E21" s="108"/>
      <c r="F21" s="108"/>
      <c r="G21" s="108"/>
    </row>
    <row r="22" spans="1:7">
      <c r="A22" s="119" t="s">
        <v>1609</v>
      </c>
      <c r="B22" s="115" t="s">
        <v>1610</v>
      </c>
      <c r="C22" s="117">
        <v>0.39300000000000002</v>
      </c>
      <c r="D22" s="116">
        <v>7.9000000000000001E-2</v>
      </c>
      <c r="E22" s="108"/>
      <c r="F22" s="108"/>
      <c r="G22" s="108"/>
    </row>
    <row r="23" spans="1:7">
      <c r="A23" s="119" t="s">
        <v>1611</v>
      </c>
      <c r="B23" s="115" t="s">
        <v>1612</v>
      </c>
      <c r="C23" s="117">
        <v>3.5999999999999997E-2</v>
      </c>
      <c r="D23" s="116">
        <v>0.29799999999999999</v>
      </c>
      <c r="E23" s="108"/>
      <c r="F23" s="108"/>
      <c r="G23" s="108"/>
    </row>
    <row r="24" spans="1:7" ht="18">
      <c r="A24" s="120" t="s">
        <v>1613</v>
      </c>
      <c r="B24" s="108"/>
      <c r="C24" s="108"/>
      <c r="D24" s="108"/>
      <c r="E24" s="108"/>
      <c r="F24" s="108"/>
      <c r="G24" s="108"/>
    </row>
    <row r="25" spans="1:7" ht="39.5">
      <c r="A25" s="118" t="s">
        <v>1438</v>
      </c>
      <c r="B25" s="114" t="s">
        <v>1614</v>
      </c>
      <c r="C25" s="114" t="s">
        <v>1605</v>
      </c>
      <c r="D25" s="108"/>
      <c r="E25" s="108"/>
      <c r="F25" s="108"/>
      <c r="G25" s="108"/>
    </row>
    <row r="26" spans="1:7">
      <c r="A26" s="119" t="s">
        <v>1439</v>
      </c>
      <c r="B26" s="115" t="s">
        <v>1615</v>
      </c>
      <c r="C26" s="117">
        <v>0.37</v>
      </c>
      <c r="D26" s="108"/>
      <c r="E26" s="108"/>
      <c r="F26" s="108"/>
      <c r="G26" s="108"/>
    </row>
    <row r="27" spans="1:7">
      <c r="A27" s="119" t="s">
        <v>1616</v>
      </c>
      <c r="B27" s="115" t="s">
        <v>1617</v>
      </c>
      <c r="C27" s="117">
        <v>0.35399999999999998</v>
      </c>
      <c r="D27" s="108"/>
      <c r="E27" s="108"/>
      <c r="F27" s="108"/>
      <c r="G27" s="108"/>
    </row>
    <row r="28" spans="1:7">
      <c r="A28" s="119" t="s">
        <v>1618</v>
      </c>
      <c r="B28" s="115" t="s">
        <v>1619</v>
      </c>
      <c r="C28" s="117">
        <v>0.184</v>
      </c>
      <c r="D28" s="108"/>
      <c r="E28" s="108"/>
      <c r="F28" s="108"/>
      <c r="G28" s="108"/>
    </row>
    <row r="29" spans="1:7">
      <c r="A29" s="119" t="s">
        <v>1620</v>
      </c>
      <c r="B29" s="115" t="s">
        <v>1621</v>
      </c>
      <c r="C29" s="117">
        <v>9.1999999999999998E-2</v>
      </c>
      <c r="D29" s="108"/>
      <c r="E29" s="108"/>
      <c r="F29" s="108"/>
      <c r="G29" s="108"/>
    </row>
    <row r="30" spans="1:7">
      <c r="A30" s="27"/>
      <c r="B30" s="108"/>
      <c r="C30" s="108"/>
      <c r="D30" s="108"/>
      <c r="E30" s="108"/>
      <c r="F30" s="108"/>
      <c r="G30" s="108"/>
    </row>
    <row r="31" spans="1:7">
      <c r="A31" s="112" t="s">
        <v>1622</v>
      </c>
      <c r="B31" s="108"/>
      <c r="C31" s="108"/>
      <c r="D31" s="108"/>
      <c r="E31" s="108"/>
      <c r="F31" s="108"/>
      <c r="G31" s="108"/>
    </row>
    <row r="32" spans="1:7" ht="18">
      <c r="A32" s="120" t="s">
        <v>1623</v>
      </c>
      <c r="B32" s="108"/>
      <c r="C32" s="108"/>
      <c r="D32" s="108"/>
      <c r="E32" s="108"/>
      <c r="F32" s="108"/>
      <c r="G32" s="108"/>
    </row>
    <row r="33" spans="1:7">
      <c r="A33" s="118" t="s">
        <v>1449</v>
      </c>
      <c r="B33" s="114" t="s">
        <v>1450</v>
      </c>
      <c r="C33" s="114" t="s">
        <v>1451</v>
      </c>
      <c r="D33" s="114" t="s">
        <v>1452</v>
      </c>
      <c r="E33" s="114" t="s">
        <v>1150</v>
      </c>
      <c r="F33" s="108"/>
      <c r="G33" s="108"/>
    </row>
    <row r="34" spans="1:7">
      <c r="A34" s="119" t="s">
        <v>1590</v>
      </c>
      <c r="B34" s="115" t="s">
        <v>677</v>
      </c>
      <c r="C34" s="123">
        <v>7135</v>
      </c>
      <c r="D34" s="123">
        <v>7203</v>
      </c>
      <c r="E34" s="115" t="s">
        <v>1624</v>
      </c>
      <c r="F34" s="108"/>
      <c r="G34" s="108"/>
    </row>
    <row r="35" spans="1:7" ht="38.5">
      <c r="A35" s="119" t="s">
        <v>1594</v>
      </c>
      <c r="B35" s="115" t="s">
        <v>677</v>
      </c>
      <c r="C35" s="123">
        <v>1264</v>
      </c>
      <c r="D35" s="115" t="s">
        <v>1625</v>
      </c>
      <c r="E35" s="115" t="s">
        <v>1626</v>
      </c>
      <c r="F35" s="108"/>
      <c r="G35" s="108"/>
    </row>
    <row r="36" spans="1:7">
      <c r="A36" s="119" t="s">
        <v>1627</v>
      </c>
      <c r="B36" s="115" t="s">
        <v>677</v>
      </c>
      <c r="C36" s="116">
        <v>226</v>
      </c>
      <c r="D36" s="116">
        <v>256</v>
      </c>
      <c r="E36" s="115" t="s">
        <v>1628</v>
      </c>
      <c r="F36" s="108"/>
      <c r="G36" s="108"/>
    </row>
    <row r="37" spans="1:7">
      <c r="A37" s="119" t="s">
        <v>1629</v>
      </c>
      <c r="B37" s="115" t="s">
        <v>677</v>
      </c>
      <c r="C37" s="116">
        <v>191</v>
      </c>
      <c r="D37" s="116">
        <v>209</v>
      </c>
      <c r="E37" s="115" t="s">
        <v>1628</v>
      </c>
      <c r="F37" s="108"/>
      <c r="G37" s="108"/>
    </row>
    <row r="38" spans="1:7">
      <c r="A38" s="119" t="s">
        <v>1630</v>
      </c>
      <c r="B38" s="115" t="s">
        <v>677</v>
      </c>
      <c r="C38" s="123">
        <v>1264</v>
      </c>
      <c r="D38" s="123">
        <v>1273</v>
      </c>
      <c r="E38" s="115" t="s">
        <v>1624</v>
      </c>
      <c r="F38" s="108"/>
      <c r="G38" s="108"/>
    </row>
    <row r="39" spans="1:7" ht="26">
      <c r="A39" s="119" t="s">
        <v>1631</v>
      </c>
      <c r="B39" s="115" t="s">
        <v>677</v>
      </c>
      <c r="C39" s="123">
        <v>2784</v>
      </c>
      <c r="D39" s="115" t="s">
        <v>1632</v>
      </c>
      <c r="E39" s="115" t="s">
        <v>1633</v>
      </c>
      <c r="F39" s="108"/>
      <c r="G39" s="108"/>
    </row>
    <row r="40" spans="1:7">
      <c r="A40" s="27"/>
      <c r="B40" s="108"/>
      <c r="C40" s="108"/>
      <c r="D40" s="108"/>
      <c r="E40" s="108"/>
      <c r="F40" s="108"/>
      <c r="G40" s="108"/>
    </row>
    <row r="41" spans="1:7">
      <c r="A41" s="112" t="s">
        <v>1634</v>
      </c>
      <c r="B41" s="108"/>
      <c r="C41" s="108"/>
      <c r="D41" s="108"/>
      <c r="E41" s="108"/>
      <c r="F41" s="108"/>
      <c r="G41" s="108"/>
    </row>
    <row r="42" spans="1:7" ht="23">
      <c r="A42" s="109" t="s">
        <v>1474</v>
      </c>
      <c r="B42" s="108"/>
      <c r="C42" s="108"/>
      <c r="D42" s="108"/>
      <c r="E42" s="108"/>
      <c r="F42" s="108"/>
      <c r="G42" s="108"/>
    </row>
    <row r="43" spans="1:7" ht="18">
      <c r="A43" s="120" t="s">
        <v>29</v>
      </c>
      <c r="B43" s="108"/>
      <c r="C43" s="108"/>
      <c r="D43" s="108"/>
      <c r="E43" s="108"/>
      <c r="F43" s="108"/>
      <c r="G43" s="108"/>
    </row>
    <row r="44" spans="1:7">
      <c r="A44" s="118" t="s">
        <v>1149</v>
      </c>
      <c r="B44" s="114" t="s">
        <v>1399</v>
      </c>
      <c r="C44" s="114" t="s">
        <v>1400</v>
      </c>
      <c r="D44" s="114" t="s">
        <v>1401</v>
      </c>
      <c r="E44" s="114" t="s">
        <v>1150</v>
      </c>
      <c r="F44" s="108"/>
      <c r="G44" s="108"/>
    </row>
    <row r="45" spans="1:7">
      <c r="A45" s="119" t="s">
        <v>1476</v>
      </c>
      <c r="B45" s="117">
        <v>0.626</v>
      </c>
      <c r="C45" s="117">
        <v>0.622</v>
      </c>
      <c r="D45" s="117">
        <v>0.62</v>
      </c>
      <c r="E45" s="115" t="s">
        <v>1635</v>
      </c>
      <c r="F45" s="108"/>
      <c r="G45" s="108"/>
    </row>
    <row r="46" spans="1:7">
      <c r="A46" s="119" t="s">
        <v>1636</v>
      </c>
      <c r="B46" s="115" t="s">
        <v>1637</v>
      </c>
      <c r="C46" s="115" t="s">
        <v>1637</v>
      </c>
      <c r="D46" s="115" t="s">
        <v>1637</v>
      </c>
      <c r="E46" s="115" t="s">
        <v>1500</v>
      </c>
      <c r="F46" s="108"/>
      <c r="G46" s="108"/>
    </row>
    <row r="47" spans="1:7">
      <c r="A47" s="119" t="s">
        <v>1638</v>
      </c>
      <c r="B47" s="115" t="s">
        <v>1639</v>
      </c>
      <c r="C47" s="115" t="s">
        <v>1640</v>
      </c>
      <c r="D47" s="115" t="s">
        <v>1640</v>
      </c>
      <c r="E47" s="115" t="s">
        <v>1641</v>
      </c>
      <c r="F47" s="108"/>
      <c r="G47" s="108"/>
    </row>
    <row r="48" spans="1:7">
      <c r="A48" s="119" t="s">
        <v>1598</v>
      </c>
      <c r="B48" s="115" t="s">
        <v>1642</v>
      </c>
      <c r="C48" s="115" t="s">
        <v>1642</v>
      </c>
      <c r="D48" s="115" t="s">
        <v>1643</v>
      </c>
      <c r="E48" s="115" t="s">
        <v>1644</v>
      </c>
      <c r="F48" s="108"/>
      <c r="G48" s="108"/>
    </row>
    <row r="49" spans="1:7">
      <c r="A49" s="27"/>
      <c r="B49" s="108"/>
      <c r="C49" s="108"/>
      <c r="D49" s="108"/>
      <c r="E49" s="108"/>
      <c r="F49" s="108"/>
      <c r="G49" s="108"/>
    </row>
    <row r="50" spans="1:7">
      <c r="A50" s="112" t="s">
        <v>1645</v>
      </c>
      <c r="B50" s="108"/>
      <c r="C50" s="108"/>
      <c r="D50" s="108"/>
      <c r="E50" s="108"/>
      <c r="F50" s="108"/>
      <c r="G50" s="108"/>
    </row>
    <row r="51" spans="1:7" ht="18">
      <c r="A51" s="110" t="s">
        <v>1646</v>
      </c>
      <c r="B51" s="108"/>
      <c r="C51" s="108"/>
      <c r="D51" s="108"/>
      <c r="E51" s="108"/>
      <c r="F51" s="108"/>
      <c r="G51" s="108"/>
    </row>
    <row r="52" spans="1:7">
      <c r="A52" s="118" t="s">
        <v>1449</v>
      </c>
      <c r="B52" s="114" t="s">
        <v>1399</v>
      </c>
      <c r="C52" s="114" t="s">
        <v>1400</v>
      </c>
      <c r="D52" s="114" t="s">
        <v>1401</v>
      </c>
      <c r="E52" s="108"/>
      <c r="F52" s="108"/>
      <c r="G52" s="108"/>
    </row>
    <row r="53" spans="1:7" ht="26">
      <c r="A53" s="119" t="s">
        <v>930</v>
      </c>
      <c r="B53" s="117">
        <v>0.222</v>
      </c>
      <c r="C53" s="117">
        <v>0.21</v>
      </c>
      <c r="D53" s="115" t="s">
        <v>1647</v>
      </c>
      <c r="E53" s="108"/>
      <c r="F53" s="108"/>
      <c r="G53" s="108"/>
    </row>
    <row r="54" spans="1:7" ht="26">
      <c r="A54" s="119" t="s">
        <v>1594</v>
      </c>
      <c r="B54" s="117">
        <v>0.27600000000000002</v>
      </c>
      <c r="C54" s="117">
        <v>0.253</v>
      </c>
      <c r="D54" s="115" t="s">
        <v>1648</v>
      </c>
      <c r="E54" s="108"/>
      <c r="F54" s="108"/>
      <c r="G54" s="108"/>
    </row>
    <row r="55" spans="1:7" ht="26">
      <c r="A55" s="119" t="s">
        <v>1598</v>
      </c>
      <c r="B55" s="117">
        <v>0.27100000000000002</v>
      </c>
      <c r="C55" s="117">
        <v>0.28599999999999998</v>
      </c>
      <c r="D55" s="115" t="s">
        <v>1649</v>
      </c>
      <c r="E55" s="108"/>
      <c r="F55" s="108"/>
      <c r="G55" s="108"/>
    </row>
    <row r="56" spans="1:7">
      <c r="A56" s="27"/>
      <c r="B56" s="108"/>
      <c r="C56" s="108"/>
      <c r="D56" s="108"/>
      <c r="E56" s="108"/>
      <c r="F56" s="108"/>
      <c r="G56" s="108"/>
    </row>
    <row r="57" spans="1:7">
      <c r="A57" s="112" t="s">
        <v>1650</v>
      </c>
      <c r="B57" s="108"/>
      <c r="C57" s="108"/>
      <c r="D57" s="108"/>
      <c r="E57" s="108"/>
      <c r="F57" s="108"/>
      <c r="G57" s="108"/>
    </row>
    <row r="58" spans="1:7" ht="23">
      <c r="A58" s="109" t="s">
        <v>1487</v>
      </c>
      <c r="B58" s="108"/>
      <c r="C58" s="108"/>
      <c r="D58" s="108"/>
      <c r="E58" s="108"/>
      <c r="F58" s="108"/>
      <c r="G58" s="108"/>
    </row>
    <row r="59" spans="1:7" ht="18">
      <c r="A59" s="120" t="s">
        <v>1488</v>
      </c>
      <c r="B59" s="108"/>
      <c r="C59" s="108"/>
      <c r="D59" s="108"/>
      <c r="E59" s="108"/>
      <c r="F59" s="108"/>
      <c r="G59" s="108"/>
    </row>
    <row r="60" spans="1:7">
      <c r="A60" s="118" t="s">
        <v>1489</v>
      </c>
      <c r="B60" s="114" t="s">
        <v>1399</v>
      </c>
      <c r="C60" s="114" t="s">
        <v>1400</v>
      </c>
      <c r="D60" s="114" t="s">
        <v>1401</v>
      </c>
      <c r="E60" s="114" t="s">
        <v>1150</v>
      </c>
      <c r="F60" s="108"/>
      <c r="G60" s="108"/>
    </row>
    <row r="61" spans="1:7" ht="26">
      <c r="A61" s="119" t="s">
        <v>218</v>
      </c>
      <c r="B61" s="117">
        <v>8.2000000000000003E-2</v>
      </c>
      <c r="C61" s="117">
        <v>0.09</v>
      </c>
      <c r="D61" s="117">
        <v>0.08</v>
      </c>
      <c r="E61" s="115" t="s">
        <v>1651</v>
      </c>
      <c r="F61" s="108"/>
      <c r="G61" s="108"/>
    </row>
    <row r="62" spans="1:7" ht="26">
      <c r="A62" s="119" t="s">
        <v>1197</v>
      </c>
      <c r="B62" s="117">
        <v>2.5999999999999999E-2</v>
      </c>
      <c r="C62" s="117">
        <v>2.8000000000000001E-2</v>
      </c>
      <c r="D62" s="117">
        <v>2.7E-2</v>
      </c>
      <c r="E62" s="115" t="s">
        <v>1652</v>
      </c>
      <c r="F62" s="108"/>
      <c r="G62" s="108"/>
    </row>
    <row r="63" spans="1:7">
      <c r="A63" s="119" t="s">
        <v>205</v>
      </c>
      <c r="B63" s="117">
        <v>0.14899999999999999</v>
      </c>
      <c r="C63" s="117">
        <v>0.14799999999999999</v>
      </c>
      <c r="D63" s="117">
        <v>0.153</v>
      </c>
      <c r="E63" s="115" t="s">
        <v>1653</v>
      </c>
      <c r="F63" s="108"/>
      <c r="G63" s="108"/>
    </row>
    <row r="64" spans="1:7">
      <c r="A64" s="27"/>
      <c r="B64" s="108"/>
      <c r="C64" s="108"/>
      <c r="D64" s="108"/>
      <c r="E64" s="108"/>
      <c r="F64" s="108"/>
      <c r="G64" s="108"/>
    </row>
    <row r="65" spans="1:7">
      <c r="A65" s="112" t="s">
        <v>1654</v>
      </c>
      <c r="B65" s="108"/>
      <c r="C65" s="108"/>
      <c r="D65" s="108"/>
      <c r="E65" s="108"/>
      <c r="F65" s="108"/>
      <c r="G65" s="108"/>
    </row>
    <row r="66" spans="1:7" ht="18">
      <c r="A66" s="110" t="s">
        <v>1496</v>
      </c>
      <c r="B66" s="108"/>
      <c r="C66" s="108"/>
      <c r="D66" s="108"/>
      <c r="E66" s="108"/>
      <c r="F66" s="108"/>
      <c r="G66" s="108"/>
    </row>
    <row r="67" spans="1:7">
      <c r="A67" s="118" t="s">
        <v>1149</v>
      </c>
      <c r="B67" s="114" t="s">
        <v>1399</v>
      </c>
      <c r="C67" s="114" t="s">
        <v>1400</v>
      </c>
      <c r="D67" s="114" t="s">
        <v>1401</v>
      </c>
      <c r="E67" s="114" t="s">
        <v>1150</v>
      </c>
      <c r="F67" s="108"/>
      <c r="G67" s="108"/>
    </row>
    <row r="68" spans="1:7">
      <c r="A68" s="119" t="s">
        <v>1655</v>
      </c>
      <c r="B68" s="117">
        <v>0.17599999999999999</v>
      </c>
      <c r="C68" s="117">
        <v>0.16600000000000001</v>
      </c>
      <c r="D68" s="117">
        <v>0.154</v>
      </c>
      <c r="E68" s="115" t="s">
        <v>1656</v>
      </c>
      <c r="F68" s="108"/>
      <c r="G68" s="108"/>
    </row>
    <row r="69" spans="1:7" ht="26">
      <c r="A69" s="119" t="s">
        <v>1498</v>
      </c>
      <c r="B69" s="117">
        <v>0.23799999999999999</v>
      </c>
      <c r="C69" s="117">
        <v>0.27600000000000002</v>
      </c>
      <c r="D69" s="117">
        <v>0.21299999999999999</v>
      </c>
      <c r="E69" s="115" t="s">
        <v>1651</v>
      </c>
      <c r="F69" s="108"/>
      <c r="G69" s="108"/>
    </row>
    <row r="70" spans="1:7">
      <c r="A70" s="119" t="s">
        <v>1499</v>
      </c>
      <c r="B70" s="117">
        <v>0.246</v>
      </c>
      <c r="C70" s="117">
        <v>0.23400000000000001</v>
      </c>
      <c r="D70" s="117">
        <v>0.23799999999999999</v>
      </c>
      <c r="E70" s="115" t="s">
        <v>1500</v>
      </c>
      <c r="F70" s="108"/>
      <c r="G70" s="108"/>
    </row>
    <row r="71" spans="1:7">
      <c r="A71" s="27"/>
      <c r="B71" s="108"/>
      <c r="C71" s="108"/>
      <c r="D71" s="108"/>
      <c r="E71" s="108"/>
      <c r="F71" s="108"/>
      <c r="G71" s="108"/>
    </row>
    <row r="72" spans="1:7">
      <c r="A72" s="112" t="s">
        <v>1657</v>
      </c>
      <c r="B72" s="108"/>
      <c r="C72" s="108"/>
      <c r="D72" s="108"/>
      <c r="E72" s="108"/>
      <c r="F72" s="108"/>
      <c r="G72" s="108"/>
    </row>
    <row r="73" spans="1:7" ht="23">
      <c r="A73" s="109" t="s">
        <v>1502</v>
      </c>
      <c r="B73" s="108"/>
      <c r="C73" s="108"/>
      <c r="D73" s="108"/>
      <c r="E73" s="108"/>
      <c r="F73" s="108"/>
      <c r="G73" s="108"/>
    </row>
    <row r="74" spans="1:7" ht="18">
      <c r="A74" s="120" t="s">
        <v>1503</v>
      </c>
      <c r="B74" s="108"/>
      <c r="C74" s="108"/>
      <c r="D74" s="108"/>
      <c r="E74" s="108"/>
      <c r="F74" s="108"/>
      <c r="G74" s="108"/>
    </row>
    <row r="75" spans="1:7">
      <c r="A75" s="118" t="s">
        <v>1149</v>
      </c>
      <c r="B75" s="114" t="s">
        <v>1399</v>
      </c>
      <c r="C75" s="114" t="s">
        <v>1400</v>
      </c>
      <c r="D75" s="114" t="s">
        <v>1401</v>
      </c>
      <c r="E75" s="114" t="s">
        <v>1150</v>
      </c>
      <c r="F75" s="108"/>
      <c r="G75" s="108"/>
    </row>
    <row r="76" spans="1:7" ht="26">
      <c r="A76" s="119" t="s">
        <v>223</v>
      </c>
      <c r="B76" s="115" t="s">
        <v>1658</v>
      </c>
      <c r="C76" s="115" t="s">
        <v>1658</v>
      </c>
      <c r="D76" s="115" t="s">
        <v>1659</v>
      </c>
      <c r="E76" s="115" t="s">
        <v>1660</v>
      </c>
      <c r="F76" s="108"/>
      <c r="G76" s="108"/>
    </row>
    <row r="77" spans="1:7">
      <c r="A77" s="119" t="s">
        <v>1661</v>
      </c>
      <c r="B77" s="115" t="s">
        <v>1662</v>
      </c>
      <c r="C77" s="115" t="s">
        <v>1663</v>
      </c>
      <c r="D77" s="115" t="s">
        <v>1663</v>
      </c>
      <c r="E77" s="115" t="s">
        <v>1500</v>
      </c>
      <c r="F77" s="108"/>
      <c r="G77" s="108"/>
    </row>
    <row r="78" spans="1:7">
      <c r="A78" s="119" t="s">
        <v>1664</v>
      </c>
      <c r="B78" s="115" t="s">
        <v>1665</v>
      </c>
      <c r="C78" s="115" t="s">
        <v>1666</v>
      </c>
      <c r="D78" s="115" t="s">
        <v>1666</v>
      </c>
      <c r="E78" s="115" t="s">
        <v>1500</v>
      </c>
      <c r="F78" s="108"/>
      <c r="G78" s="108"/>
    </row>
    <row r="79" spans="1:7">
      <c r="A79" s="27"/>
      <c r="B79" s="108"/>
      <c r="C79" s="108"/>
      <c r="D79" s="108"/>
      <c r="E79" s="108"/>
      <c r="F79" s="108"/>
      <c r="G79" s="108"/>
    </row>
    <row r="80" spans="1:7">
      <c r="A80" s="112" t="s">
        <v>1667</v>
      </c>
      <c r="B80" s="108"/>
      <c r="C80" s="108"/>
      <c r="D80" s="108"/>
      <c r="E80" s="108"/>
      <c r="F80" s="108"/>
      <c r="G80" s="108"/>
    </row>
    <row r="81" spans="1:7" ht="18">
      <c r="A81" s="120" t="s">
        <v>1520</v>
      </c>
      <c r="B81" s="108"/>
      <c r="C81" s="108"/>
      <c r="D81" s="108"/>
      <c r="E81" s="108"/>
      <c r="F81" s="108"/>
      <c r="G81" s="108"/>
    </row>
    <row r="82" spans="1:7">
      <c r="A82" s="118" t="s">
        <v>1149</v>
      </c>
      <c r="B82" s="114" t="s">
        <v>1400</v>
      </c>
      <c r="C82" s="114" t="s">
        <v>1401</v>
      </c>
      <c r="D82" s="108"/>
      <c r="E82" s="108"/>
      <c r="F82" s="108"/>
      <c r="G82" s="108"/>
    </row>
    <row r="83" spans="1:7" ht="26">
      <c r="A83" s="119" t="s">
        <v>1668</v>
      </c>
      <c r="B83" s="115" t="s">
        <v>1669</v>
      </c>
      <c r="C83" s="115" t="s">
        <v>1670</v>
      </c>
      <c r="D83" s="108"/>
      <c r="E83" s="108"/>
      <c r="F83" s="108"/>
      <c r="G83" s="108"/>
    </row>
    <row r="84" spans="1:7">
      <c r="A84" s="119" t="s">
        <v>1671</v>
      </c>
      <c r="B84" s="115" t="s">
        <v>677</v>
      </c>
      <c r="C84" s="115" t="s">
        <v>677</v>
      </c>
      <c r="D84" s="108"/>
      <c r="E84" s="108"/>
      <c r="F84" s="108"/>
      <c r="G84" s="108"/>
    </row>
    <row r="85" spans="1:7">
      <c r="A85" s="119" t="s">
        <v>1672</v>
      </c>
      <c r="B85" s="117">
        <v>0.185</v>
      </c>
      <c r="C85" s="117">
        <v>0.187</v>
      </c>
      <c r="D85" s="108"/>
      <c r="E85" s="108"/>
      <c r="F85" s="108"/>
      <c r="G85" s="108"/>
    </row>
    <row r="86" spans="1:7">
      <c r="A86" s="27"/>
      <c r="B86" s="108"/>
      <c r="C86" s="108"/>
      <c r="D86" s="108"/>
      <c r="E86" s="108"/>
      <c r="F86" s="108"/>
      <c r="G86" s="108"/>
    </row>
    <row r="87" spans="1:7">
      <c r="A87" s="112" t="s">
        <v>1673</v>
      </c>
      <c r="B87" s="108"/>
      <c r="C87" s="108"/>
      <c r="D87" s="108"/>
      <c r="E87" s="108"/>
      <c r="F87" s="108"/>
      <c r="G87" s="108"/>
    </row>
    <row r="88" spans="1:7" ht="23">
      <c r="A88" s="109" t="s">
        <v>1531</v>
      </c>
      <c r="B88" s="108"/>
      <c r="C88" s="108"/>
      <c r="D88" s="108"/>
      <c r="E88" s="108"/>
      <c r="F88" s="108"/>
      <c r="G88" s="108"/>
    </row>
    <row r="89" spans="1:7">
      <c r="A89" s="121" t="s">
        <v>1532</v>
      </c>
      <c r="B89" s="113" t="s">
        <v>1533</v>
      </c>
      <c r="C89" s="108"/>
      <c r="D89" s="108"/>
      <c r="E89" s="108"/>
      <c r="F89" s="108"/>
      <c r="G89" s="108"/>
    </row>
    <row r="90" spans="1:7">
      <c r="A90" s="122" t="s">
        <v>1674</v>
      </c>
      <c r="B90" s="112" t="s">
        <v>1675</v>
      </c>
      <c r="C90" s="108"/>
      <c r="D90" s="108"/>
      <c r="E90" s="108"/>
      <c r="F90" s="108"/>
      <c r="G90" s="108"/>
    </row>
    <row r="91" spans="1:7">
      <c r="A91" s="122" t="s">
        <v>1676</v>
      </c>
      <c r="B91" s="112" t="s">
        <v>1677</v>
      </c>
      <c r="C91" s="108"/>
      <c r="D91" s="108"/>
      <c r="E91" s="108"/>
      <c r="F91" s="108"/>
      <c r="G91" s="108"/>
    </row>
    <row r="92" spans="1:7">
      <c r="A92" s="122" t="s">
        <v>1538</v>
      </c>
      <c r="B92" s="112" t="s">
        <v>1678</v>
      </c>
      <c r="C92" s="108"/>
      <c r="D92" s="108"/>
      <c r="E92" s="108"/>
      <c r="F92" s="108"/>
      <c r="G92" s="108"/>
    </row>
    <row r="93" spans="1:7">
      <c r="A93" s="122" t="s">
        <v>1556</v>
      </c>
      <c r="B93" s="112" t="s">
        <v>1679</v>
      </c>
      <c r="C93" s="108"/>
      <c r="D93" s="108"/>
      <c r="E93" s="108"/>
      <c r="F93" s="108"/>
      <c r="G93" s="108"/>
    </row>
    <row r="94" spans="1:7">
      <c r="A94" s="27"/>
      <c r="B94" s="108"/>
      <c r="C94" s="108"/>
      <c r="D94" s="108"/>
      <c r="E94" s="108"/>
      <c r="F94" s="108"/>
      <c r="G94" s="108"/>
    </row>
    <row r="95" spans="1:7">
      <c r="A95" s="112" t="s">
        <v>1680</v>
      </c>
      <c r="B95" s="108"/>
      <c r="C95" s="108"/>
      <c r="D95" s="108"/>
      <c r="E95" s="108"/>
      <c r="F95" s="108"/>
      <c r="G95" s="108"/>
    </row>
    <row r="96" spans="1:7" ht="23">
      <c r="A96" s="109" t="s">
        <v>1543</v>
      </c>
      <c r="B96" s="108"/>
      <c r="C96" s="108"/>
      <c r="D96" s="108"/>
      <c r="E96" s="108"/>
      <c r="F96" s="108"/>
      <c r="G96" s="108"/>
    </row>
    <row r="97" spans="1:7" ht="18">
      <c r="A97" s="110" t="s">
        <v>1681</v>
      </c>
      <c r="B97" s="108"/>
      <c r="C97" s="108"/>
      <c r="D97" s="108"/>
      <c r="E97" s="108"/>
      <c r="F97" s="108"/>
      <c r="G97" s="108"/>
    </row>
    <row r="98" spans="1:7">
      <c r="A98" s="118" t="s">
        <v>1532</v>
      </c>
      <c r="B98" s="114" t="s">
        <v>908</v>
      </c>
      <c r="C98" s="114" t="s">
        <v>913</v>
      </c>
      <c r="D98" s="114" t="s">
        <v>1682</v>
      </c>
      <c r="E98" s="108"/>
      <c r="F98" s="108"/>
      <c r="G98" s="108"/>
    </row>
    <row r="99" spans="1:7" ht="26">
      <c r="A99" s="119" t="s">
        <v>1683</v>
      </c>
      <c r="B99" s="115" t="s">
        <v>1684</v>
      </c>
      <c r="C99" s="115" t="s">
        <v>1685</v>
      </c>
      <c r="D99" s="115" t="s">
        <v>1686</v>
      </c>
      <c r="E99" s="108"/>
      <c r="F99" s="108"/>
      <c r="G99" s="108"/>
    </row>
    <row r="100" spans="1:7">
      <c r="A100" s="119" t="s">
        <v>1687</v>
      </c>
      <c r="B100" s="116">
        <v>0.13300000000000001</v>
      </c>
      <c r="C100" s="116">
        <v>0.106</v>
      </c>
      <c r="D100" s="115" t="s">
        <v>1688</v>
      </c>
      <c r="E100" s="108"/>
      <c r="F100" s="108"/>
      <c r="G100" s="108"/>
    </row>
    <row r="101" spans="1:7">
      <c r="A101" s="119" t="s">
        <v>29</v>
      </c>
      <c r="B101" s="117">
        <v>0.62</v>
      </c>
      <c r="C101" s="117">
        <v>0.41499999999999998</v>
      </c>
      <c r="D101" s="124" t="s">
        <v>1689</v>
      </c>
      <c r="E101" s="108"/>
      <c r="F101" s="108"/>
      <c r="G101" s="108"/>
    </row>
    <row r="102" spans="1:7" ht="26">
      <c r="A102" s="119" t="s">
        <v>36</v>
      </c>
      <c r="B102" s="115" t="s">
        <v>1690</v>
      </c>
      <c r="C102" s="117">
        <v>0.11700000000000001</v>
      </c>
      <c r="D102" s="115" t="s">
        <v>1691</v>
      </c>
      <c r="E102" s="108"/>
      <c r="F102" s="108"/>
      <c r="G102" s="108"/>
    </row>
    <row r="103" spans="1:7">
      <c r="A103" s="119" t="s">
        <v>1498</v>
      </c>
      <c r="B103" s="117">
        <v>0.21299999999999999</v>
      </c>
      <c r="C103" s="117">
        <v>0.13500000000000001</v>
      </c>
      <c r="D103" s="115" t="s">
        <v>1692</v>
      </c>
      <c r="E103" s="108"/>
      <c r="F103" s="108"/>
      <c r="G103" s="108"/>
    </row>
    <row r="104" spans="1:7" ht="26">
      <c r="A104" s="119" t="s">
        <v>1555</v>
      </c>
      <c r="B104" s="115" t="s">
        <v>1659</v>
      </c>
      <c r="C104" s="115" t="s">
        <v>1506</v>
      </c>
      <c r="D104" s="115" t="s">
        <v>1693</v>
      </c>
      <c r="E104" s="108"/>
      <c r="F104" s="108"/>
      <c r="G104" s="108"/>
    </row>
    <row r="105" spans="1:7">
      <c r="A105" s="119" t="s">
        <v>1197</v>
      </c>
      <c r="B105" s="117">
        <v>2.7E-2</v>
      </c>
      <c r="C105" s="117">
        <v>3.4000000000000002E-2</v>
      </c>
      <c r="D105" s="124" t="s">
        <v>1694</v>
      </c>
      <c r="E105" s="108"/>
      <c r="F105" s="108"/>
      <c r="G105" s="108"/>
    </row>
    <row r="106" spans="1:7">
      <c r="A106" s="119" t="s">
        <v>218</v>
      </c>
      <c r="B106" s="117">
        <v>0.08</v>
      </c>
      <c r="C106" s="117">
        <v>0.105</v>
      </c>
      <c r="D106" s="124" t="s">
        <v>1695</v>
      </c>
      <c r="E106" s="108"/>
      <c r="F106" s="108"/>
      <c r="G106" s="108"/>
    </row>
    <row r="107" spans="1:7" ht="38.5">
      <c r="A107" s="119" t="s">
        <v>1696</v>
      </c>
      <c r="B107" s="115" t="s">
        <v>1697</v>
      </c>
      <c r="C107" s="115" t="s">
        <v>1698</v>
      </c>
      <c r="D107" s="124" t="s">
        <v>1699</v>
      </c>
      <c r="E107" s="108"/>
      <c r="F107" s="108"/>
      <c r="G107" s="108"/>
    </row>
    <row r="108" spans="1:7" ht="26">
      <c r="A108" s="119" t="s">
        <v>1700</v>
      </c>
      <c r="B108" s="115" t="s">
        <v>1701</v>
      </c>
      <c r="C108" s="115" t="s">
        <v>1702</v>
      </c>
      <c r="D108" s="115" t="s">
        <v>1703</v>
      </c>
      <c r="E108" s="108"/>
      <c r="F108" s="108"/>
      <c r="G108" s="108"/>
    </row>
    <row r="109" spans="1:7" ht="18">
      <c r="A109" s="110" t="s">
        <v>1704</v>
      </c>
      <c r="B109" s="108"/>
      <c r="C109" s="108"/>
      <c r="D109" s="108"/>
      <c r="E109" s="108"/>
      <c r="F109" s="108"/>
      <c r="G109" s="108"/>
    </row>
    <row r="110" spans="1:7">
      <c r="A110" s="27"/>
      <c r="B110" s="108"/>
      <c r="C110" s="108"/>
      <c r="D110" s="108"/>
      <c r="E110" s="108"/>
      <c r="F110" s="108"/>
      <c r="G110" s="108"/>
    </row>
    <row r="111" spans="1:7">
      <c r="A111" s="112" t="s">
        <v>1705</v>
      </c>
      <c r="B111" s="108"/>
      <c r="C111" s="108"/>
      <c r="D111" s="108"/>
      <c r="E111" s="108"/>
      <c r="F111" s="108"/>
      <c r="G111" s="108"/>
    </row>
    <row r="112" spans="1:7">
      <c r="A112" s="27"/>
      <c r="B112" s="108"/>
      <c r="C112" s="108"/>
      <c r="D112" s="108"/>
      <c r="E112" s="108"/>
      <c r="F112" s="108"/>
      <c r="G112" s="108"/>
    </row>
    <row r="113" spans="1:7">
      <c r="A113" s="112" t="s">
        <v>1706</v>
      </c>
      <c r="B113" s="108"/>
      <c r="C113" s="108"/>
      <c r="D113" s="108"/>
      <c r="E113" s="108"/>
      <c r="F113" s="108"/>
      <c r="G113" s="108"/>
    </row>
    <row r="114" spans="1:7">
      <c r="A114" s="27"/>
      <c r="B114" s="108"/>
      <c r="C114" s="108"/>
      <c r="D114" s="108"/>
      <c r="E114" s="108"/>
      <c r="F114" s="108"/>
      <c r="G114" s="108"/>
    </row>
    <row r="115" spans="1:7">
      <c r="A115" s="112" t="s">
        <v>1707</v>
      </c>
      <c r="B115" s="108"/>
      <c r="C115" s="108"/>
      <c r="D115" s="108"/>
      <c r="E115" s="108"/>
      <c r="F115" s="108"/>
      <c r="G115" s="108"/>
    </row>
    <row r="116" spans="1:7" ht="18">
      <c r="A116" s="120" t="s">
        <v>1708</v>
      </c>
      <c r="B116" s="108"/>
      <c r="C116" s="108"/>
      <c r="D116" s="108"/>
      <c r="E116" s="108"/>
      <c r="F116" s="108"/>
      <c r="G116" s="108"/>
    </row>
    <row r="117" spans="1:7">
      <c r="A117" s="121" t="s">
        <v>1709</v>
      </c>
      <c r="B117" s="111" t="s">
        <v>1710</v>
      </c>
      <c r="C117" s="108"/>
      <c r="D117" s="108"/>
      <c r="E117" s="108"/>
      <c r="F117" s="108"/>
      <c r="G117" s="108"/>
    </row>
    <row r="118" spans="1:7">
      <c r="A118" s="122" t="s">
        <v>1711</v>
      </c>
      <c r="B118" s="112" t="s">
        <v>1712</v>
      </c>
      <c r="C118" s="108"/>
      <c r="D118" s="108"/>
      <c r="E118" s="108"/>
      <c r="F118" s="108"/>
      <c r="G118" s="108"/>
    </row>
    <row r="119" spans="1:7">
      <c r="A119" s="122" t="s">
        <v>1713</v>
      </c>
      <c r="B119" s="112" t="s">
        <v>1714</v>
      </c>
      <c r="C119" s="108"/>
      <c r="D119" s="108"/>
      <c r="E119" s="108"/>
      <c r="F119" s="108"/>
      <c r="G119" s="108"/>
    </row>
    <row r="120" spans="1:7">
      <c r="A120" s="122" t="s">
        <v>1715</v>
      </c>
      <c r="B120" s="112" t="s">
        <v>1716</v>
      </c>
      <c r="C120" s="108"/>
      <c r="D120" s="108"/>
      <c r="E120" s="108"/>
      <c r="F120" s="108"/>
      <c r="G120" s="108"/>
    </row>
    <row r="121" spans="1:7">
      <c r="A121" s="122" t="s">
        <v>1717</v>
      </c>
      <c r="B121" s="112" t="s">
        <v>1718</v>
      </c>
      <c r="C121" s="108"/>
      <c r="D121" s="108"/>
      <c r="E121" s="108"/>
      <c r="F121" s="108"/>
      <c r="G121" s="108"/>
    </row>
    <row r="122" spans="1:7">
      <c r="A122" s="27"/>
      <c r="B122" s="108"/>
      <c r="C122" s="108"/>
      <c r="D122" s="108"/>
      <c r="E122" s="108"/>
      <c r="F122" s="108"/>
      <c r="G122" s="108"/>
    </row>
    <row r="123" spans="1:7">
      <c r="A123" s="27"/>
      <c r="B123" s="108"/>
      <c r="C123" s="108"/>
      <c r="D123" s="108"/>
      <c r="E123" s="108"/>
      <c r="F123" s="108"/>
      <c r="G123" s="108"/>
    </row>
    <row r="124" spans="1:7">
      <c r="A124" s="27"/>
      <c r="B124" s="108"/>
      <c r="C124" s="108"/>
      <c r="D124" s="108"/>
      <c r="E124" s="108"/>
      <c r="F124" s="108"/>
      <c r="G124" s="108"/>
    </row>
    <row r="125" spans="1:7">
      <c r="A125" s="27"/>
      <c r="B125" s="108"/>
      <c r="C125" s="108"/>
      <c r="D125" s="108"/>
      <c r="E125" s="108"/>
      <c r="F125" s="108"/>
      <c r="G125" s="108"/>
    </row>
    <row r="126" spans="1:7">
      <c r="A126" s="27"/>
      <c r="B126" s="108"/>
      <c r="C126" s="108"/>
      <c r="D126" s="108"/>
      <c r="E126" s="108"/>
      <c r="F126" s="108"/>
      <c r="G126" s="108"/>
    </row>
    <row r="127" spans="1:7">
      <c r="A127" s="27"/>
      <c r="B127" s="108"/>
      <c r="C127" s="108"/>
      <c r="D127" s="108"/>
      <c r="E127" s="108"/>
      <c r="F127" s="108"/>
      <c r="G127" s="108"/>
    </row>
    <row r="128" spans="1:7">
      <c r="A128" s="27"/>
      <c r="B128" s="108"/>
      <c r="C128" s="108"/>
      <c r="D128" s="108"/>
      <c r="E128" s="108"/>
      <c r="F128" s="108"/>
      <c r="G128" s="108"/>
    </row>
    <row r="129" spans="1:7">
      <c r="A129" s="27"/>
      <c r="B129" s="108"/>
      <c r="C129" s="108"/>
      <c r="D129" s="108"/>
      <c r="E129" s="108"/>
      <c r="F129" s="108"/>
      <c r="G129" s="108"/>
    </row>
    <row r="130" spans="1:7">
      <c r="A130" s="27"/>
      <c r="B130" s="108"/>
      <c r="C130" s="108"/>
      <c r="D130" s="108"/>
      <c r="E130" s="108"/>
      <c r="F130" s="108"/>
      <c r="G130" s="108"/>
    </row>
    <row r="131" spans="1:7">
      <c r="A131" s="27"/>
      <c r="B131" s="108"/>
      <c r="C131" s="108"/>
      <c r="D131" s="108"/>
      <c r="E131" s="108"/>
      <c r="F131" s="108"/>
      <c r="G131" s="108"/>
    </row>
    <row r="132" spans="1:7">
      <c r="A132" s="27"/>
      <c r="B132" s="108"/>
      <c r="C132" s="108"/>
      <c r="D132" s="108"/>
      <c r="E132" s="108"/>
      <c r="F132" s="108"/>
      <c r="G132" s="108"/>
    </row>
    <row r="133" spans="1:7">
      <c r="A133" s="27"/>
      <c r="B133" s="108"/>
      <c r="C133" s="108"/>
      <c r="D133" s="108"/>
      <c r="E133" s="108"/>
      <c r="F133" s="108"/>
      <c r="G133" s="108"/>
    </row>
    <row r="134" spans="1:7">
      <c r="A134" s="27"/>
      <c r="B134" s="108"/>
      <c r="C134" s="108"/>
      <c r="D134" s="108"/>
      <c r="E134" s="108"/>
      <c r="F134" s="108"/>
      <c r="G134" s="108"/>
    </row>
    <row r="135" spans="1:7">
      <c r="A135" s="27"/>
      <c r="B135" s="108"/>
      <c r="C135" s="108"/>
      <c r="D135" s="108"/>
      <c r="E135" s="108"/>
      <c r="F135" s="108"/>
      <c r="G135" s="108"/>
    </row>
    <row r="136" spans="1:7">
      <c r="A136" s="27"/>
      <c r="B136" s="108"/>
      <c r="C136" s="108"/>
      <c r="D136" s="108"/>
      <c r="E136" s="108"/>
      <c r="F136" s="108"/>
      <c r="G136" s="108"/>
    </row>
    <row r="137" spans="1:7">
      <c r="A137" s="27"/>
      <c r="B137" s="108"/>
      <c r="C137" s="108"/>
      <c r="D137" s="108"/>
      <c r="E137" s="108"/>
      <c r="F137" s="108"/>
      <c r="G137" s="108"/>
    </row>
    <row r="138" spans="1:7">
      <c r="A138" s="27"/>
      <c r="B138" s="108"/>
      <c r="C138" s="108"/>
      <c r="D138" s="108"/>
      <c r="E138" s="108"/>
      <c r="F138" s="108"/>
      <c r="G138" s="108"/>
    </row>
    <row r="139" spans="1:7">
      <c r="A139" s="27"/>
      <c r="B139" s="108"/>
      <c r="C139" s="108"/>
      <c r="D139" s="108"/>
      <c r="E139" s="108"/>
      <c r="F139" s="108"/>
      <c r="G139" s="108"/>
    </row>
    <row r="140" spans="1:7">
      <c r="A140" s="27"/>
      <c r="B140" s="108"/>
      <c r="C140" s="108"/>
      <c r="D140" s="108"/>
      <c r="E140" s="108"/>
      <c r="F140" s="108"/>
      <c r="G140" s="108"/>
    </row>
    <row r="141" spans="1:7">
      <c r="A141" s="27"/>
      <c r="B141" s="108"/>
      <c r="C141" s="108"/>
      <c r="D141" s="108"/>
      <c r="E141" s="108"/>
      <c r="F141" s="108"/>
      <c r="G141" s="108"/>
    </row>
    <row r="142" spans="1:7">
      <c r="A142" s="27"/>
      <c r="B142" s="108"/>
      <c r="C142" s="108"/>
      <c r="D142" s="108"/>
      <c r="E142" s="108"/>
      <c r="F142" s="108"/>
      <c r="G142" s="108"/>
    </row>
    <row r="143" spans="1:7">
      <c r="A143" s="27"/>
      <c r="B143" s="108"/>
      <c r="C143" s="108"/>
      <c r="D143" s="108"/>
      <c r="E143" s="108"/>
      <c r="F143" s="108"/>
      <c r="G143" s="108"/>
    </row>
    <row r="144" spans="1:7">
      <c r="A144" s="27"/>
      <c r="B144" s="108"/>
      <c r="C144" s="108"/>
      <c r="D144" s="108"/>
      <c r="E144" s="108"/>
      <c r="F144" s="108"/>
      <c r="G144" s="108"/>
    </row>
    <row r="145" spans="1:7">
      <c r="A145" s="27"/>
      <c r="B145" s="108"/>
      <c r="C145" s="108"/>
      <c r="D145" s="108"/>
      <c r="E145" s="108"/>
      <c r="F145" s="108"/>
      <c r="G145" s="108"/>
    </row>
    <row r="146" spans="1:7">
      <c r="A146" s="27"/>
      <c r="B146" s="108"/>
      <c r="C146" s="108"/>
      <c r="D146" s="108"/>
      <c r="E146" s="108"/>
      <c r="F146" s="108"/>
      <c r="G146" s="108"/>
    </row>
    <row r="147" spans="1:7">
      <c r="A147" s="27"/>
      <c r="B147" s="108"/>
      <c r="C147" s="108"/>
      <c r="D147" s="108"/>
      <c r="E147" s="108"/>
      <c r="F147" s="108"/>
      <c r="G147" s="108"/>
    </row>
    <row r="148" spans="1:7">
      <c r="A148" s="27"/>
      <c r="B148" s="108"/>
      <c r="C148" s="108"/>
      <c r="D148" s="108"/>
      <c r="E148" s="108"/>
      <c r="F148" s="108"/>
      <c r="G148" s="108"/>
    </row>
    <row r="149" spans="1:7">
      <c r="A149" s="27"/>
      <c r="B149" s="108"/>
      <c r="C149" s="108"/>
      <c r="D149" s="108"/>
      <c r="E149" s="108"/>
      <c r="F149" s="108"/>
      <c r="G149" s="108"/>
    </row>
    <row r="150" spans="1:7">
      <c r="A150" s="27"/>
      <c r="B150" s="108"/>
      <c r="C150" s="108"/>
      <c r="D150" s="108"/>
      <c r="E150" s="108"/>
      <c r="F150" s="108"/>
      <c r="G150" s="108"/>
    </row>
    <row r="151" spans="1:7">
      <c r="A151" s="27"/>
      <c r="B151" s="108"/>
      <c r="C151" s="108"/>
      <c r="D151" s="108"/>
      <c r="E151" s="108"/>
      <c r="F151" s="108"/>
      <c r="G151" s="108"/>
    </row>
    <row r="152" spans="1:7">
      <c r="A152" s="27"/>
      <c r="B152" s="108"/>
      <c r="C152" s="108"/>
      <c r="D152" s="108"/>
      <c r="E152" s="108"/>
      <c r="F152" s="108"/>
      <c r="G152" s="108"/>
    </row>
    <row r="153" spans="1:7">
      <c r="A153" s="27"/>
      <c r="B153" s="108"/>
      <c r="C153" s="108"/>
      <c r="D153" s="108"/>
      <c r="E153" s="108"/>
      <c r="F153" s="108"/>
      <c r="G153" s="108"/>
    </row>
    <row r="154" spans="1:7">
      <c r="A154" s="27"/>
      <c r="B154" s="108"/>
      <c r="C154" s="108"/>
      <c r="D154" s="108"/>
      <c r="E154" s="108"/>
      <c r="F154" s="108"/>
      <c r="G154" s="108"/>
    </row>
    <row r="155" spans="1:7">
      <c r="A155" s="27"/>
      <c r="B155" s="108"/>
      <c r="C155" s="108"/>
      <c r="D155" s="108"/>
      <c r="E155" s="108"/>
      <c r="F155" s="108"/>
      <c r="G155" s="108"/>
    </row>
    <row r="156" spans="1:7">
      <c r="A156" s="27"/>
      <c r="B156" s="108"/>
      <c r="C156" s="108"/>
      <c r="D156" s="108"/>
      <c r="E156" s="108"/>
      <c r="F156" s="108"/>
      <c r="G156" s="108"/>
    </row>
    <row r="157" spans="1:7">
      <c r="A157" s="27"/>
      <c r="B157" s="108"/>
      <c r="C157" s="108"/>
      <c r="D157" s="108"/>
      <c r="E157" s="108"/>
      <c r="F157" s="108"/>
      <c r="G157" s="108"/>
    </row>
    <row r="158" spans="1:7">
      <c r="A158" s="27"/>
      <c r="B158" s="108"/>
      <c r="C158" s="108"/>
      <c r="D158" s="108"/>
      <c r="E158" s="108"/>
      <c r="F158" s="108"/>
      <c r="G158" s="108"/>
    </row>
    <row r="159" spans="1:7">
      <c r="A159" s="27"/>
      <c r="B159" s="108"/>
      <c r="C159" s="108"/>
      <c r="D159" s="108"/>
      <c r="E159" s="108"/>
      <c r="F159" s="108"/>
      <c r="G159" s="108"/>
    </row>
    <row r="160" spans="1:7">
      <c r="A160" s="27"/>
      <c r="B160" s="108"/>
      <c r="C160" s="108"/>
      <c r="D160" s="108"/>
      <c r="E160" s="108"/>
      <c r="F160" s="108"/>
      <c r="G160" s="108"/>
    </row>
    <row r="161" spans="1:7">
      <c r="A161" s="27"/>
      <c r="B161" s="108"/>
      <c r="C161" s="108"/>
      <c r="D161" s="108"/>
      <c r="E161" s="108"/>
      <c r="F161" s="108"/>
      <c r="G161" s="108"/>
    </row>
    <row r="162" spans="1:7">
      <c r="A162" s="27"/>
      <c r="B162" s="108"/>
      <c r="C162" s="108"/>
      <c r="D162" s="108"/>
      <c r="E162" s="108"/>
      <c r="F162" s="108"/>
      <c r="G162" s="108"/>
    </row>
    <row r="163" spans="1:7">
      <c r="A163" s="27"/>
      <c r="B163" s="108"/>
      <c r="C163" s="108"/>
      <c r="D163" s="108"/>
      <c r="E163" s="108"/>
      <c r="F163" s="108"/>
      <c r="G163" s="108"/>
    </row>
    <row r="164" spans="1:7">
      <c r="A164" s="27"/>
      <c r="B164" s="108"/>
      <c r="C164" s="108"/>
      <c r="D164" s="108"/>
      <c r="E164" s="108"/>
      <c r="F164" s="108"/>
      <c r="G164" s="108"/>
    </row>
    <row r="165" spans="1:7">
      <c r="A165" s="27"/>
      <c r="B165" s="108"/>
      <c r="C165" s="108"/>
      <c r="D165" s="108"/>
      <c r="E165" s="108"/>
      <c r="F165" s="108"/>
      <c r="G165" s="108"/>
    </row>
    <row r="166" spans="1:7">
      <c r="A166" s="27"/>
      <c r="B166" s="108"/>
      <c r="C166" s="108"/>
      <c r="D166" s="108"/>
      <c r="E166" s="108"/>
      <c r="F166" s="108"/>
      <c r="G166" s="108"/>
    </row>
    <row r="167" spans="1:7">
      <c r="A167" s="27"/>
      <c r="B167" s="108"/>
      <c r="C167" s="108"/>
      <c r="D167" s="108"/>
      <c r="E167" s="108"/>
      <c r="F167" s="108"/>
      <c r="G167" s="108"/>
    </row>
    <row r="168" spans="1:7">
      <c r="A168" s="27"/>
      <c r="B168" s="108"/>
      <c r="C168" s="108"/>
      <c r="D168" s="108"/>
      <c r="E168" s="108"/>
      <c r="F168" s="108"/>
      <c r="G168" s="108"/>
    </row>
    <row r="169" spans="1:7">
      <c r="A169" s="27"/>
      <c r="B169" s="108"/>
      <c r="C169" s="108"/>
      <c r="D169" s="108"/>
      <c r="E169" s="108"/>
      <c r="F169" s="108"/>
      <c r="G169" s="108"/>
    </row>
    <row r="170" spans="1:7">
      <c r="A170" s="27"/>
      <c r="B170" s="108"/>
      <c r="C170" s="108"/>
      <c r="D170" s="108"/>
      <c r="E170" s="108"/>
      <c r="F170" s="108"/>
      <c r="G170" s="108"/>
    </row>
    <row r="171" spans="1:7">
      <c r="A171" s="27"/>
      <c r="B171" s="108"/>
      <c r="C171" s="108"/>
      <c r="D171" s="108"/>
      <c r="E171" s="108"/>
      <c r="F171" s="108"/>
      <c r="G171" s="108"/>
    </row>
    <row r="172" spans="1:7">
      <c r="A172" s="27"/>
      <c r="B172" s="108"/>
      <c r="C172" s="108"/>
      <c r="D172" s="108"/>
      <c r="E172" s="108"/>
      <c r="F172" s="108"/>
      <c r="G172" s="108"/>
    </row>
    <row r="173" spans="1:7">
      <c r="A173" s="27"/>
      <c r="B173" s="108"/>
      <c r="C173" s="108"/>
      <c r="D173" s="108"/>
      <c r="E173" s="108"/>
      <c r="F173" s="108"/>
      <c r="G173" s="108"/>
    </row>
    <row r="174" spans="1:7">
      <c r="A174" s="27"/>
      <c r="B174" s="108"/>
      <c r="C174" s="108"/>
      <c r="D174" s="108"/>
      <c r="E174" s="108"/>
      <c r="F174" s="108"/>
      <c r="G174" s="108"/>
    </row>
    <row r="175" spans="1:7">
      <c r="A175" s="27"/>
      <c r="B175" s="108"/>
      <c r="C175" s="108"/>
      <c r="D175" s="108"/>
      <c r="E175" s="108"/>
      <c r="F175" s="108"/>
      <c r="G175" s="108"/>
    </row>
    <row r="176" spans="1:7">
      <c r="A176" s="27"/>
      <c r="B176" s="108"/>
      <c r="C176" s="108"/>
      <c r="D176" s="108"/>
      <c r="E176" s="108"/>
      <c r="F176" s="108"/>
      <c r="G176" s="108"/>
    </row>
    <row r="177" spans="1:7">
      <c r="A177" s="27"/>
      <c r="B177" s="108"/>
      <c r="C177" s="108"/>
      <c r="D177" s="108"/>
      <c r="E177" s="108"/>
      <c r="F177" s="108"/>
      <c r="G177" s="108"/>
    </row>
    <row r="178" spans="1:7">
      <c r="A178" s="27"/>
      <c r="B178" s="108"/>
      <c r="C178" s="108"/>
      <c r="D178" s="108"/>
      <c r="E178" s="108"/>
      <c r="F178" s="108"/>
      <c r="G178" s="108"/>
    </row>
    <row r="179" spans="1:7">
      <c r="A179" s="27"/>
      <c r="B179" s="108"/>
      <c r="C179" s="108"/>
      <c r="D179" s="108"/>
      <c r="E179" s="108"/>
      <c r="F179" s="108"/>
      <c r="G179" s="108"/>
    </row>
    <row r="180" spans="1:7">
      <c r="A180" s="27"/>
      <c r="B180" s="108"/>
      <c r="C180" s="108"/>
      <c r="D180" s="108"/>
      <c r="E180" s="108"/>
      <c r="F180" s="108"/>
      <c r="G180" s="108"/>
    </row>
    <row r="181" spans="1:7">
      <c r="A181" s="27"/>
      <c r="B181" s="108"/>
      <c r="C181" s="108"/>
      <c r="D181" s="108"/>
      <c r="E181" s="108"/>
      <c r="F181" s="108"/>
      <c r="G181" s="108"/>
    </row>
    <row r="182" spans="1:7">
      <c r="A182" s="27"/>
      <c r="B182" s="108"/>
      <c r="C182" s="108"/>
      <c r="D182" s="108"/>
      <c r="E182" s="108"/>
      <c r="F182" s="108"/>
      <c r="G182" s="108"/>
    </row>
    <row r="183" spans="1:7">
      <c r="A183" s="27"/>
      <c r="B183" s="108"/>
      <c r="C183" s="108"/>
      <c r="D183" s="108"/>
      <c r="E183" s="108"/>
      <c r="F183" s="108"/>
      <c r="G183" s="108"/>
    </row>
    <row r="184" spans="1:7">
      <c r="A184" s="27"/>
      <c r="B184" s="108"/>
      <c r="C184" s="108"/>
      <c r="D184" s="108"/>
      <c r="E184" s="108"/>
      <c r="F184" s="108"/>
      <c r="G184" s="108"/>
    </row>
    <row r="185" spans="1:7">
      <c r="A185" s="27"/>
      <c r="B185" s="108"/>
      <c r="C185" s="108"/>
      <c r="D185" s="108"/>
      <c r="E185" s="108"/>
      <c r="F185" s="108"/>
      <c r="G185" s="108"/>
    </row>
    <row r="186" spans="1:7">
      <c r="A186" s="27"/>
      <c r="B186" s="108"/>
      <c r="C186" s="108"/>
      <c r="D186" s="108"/>
      <c r="E186" s="108"/>
      <c r="F186" s="108"/>
      <c r="G186" s="108"/>
    </row>
    <row r="187" spans="1:7">
      <c r="A187" s="27"/>
      <c r="B187" s="108"/>
      <c r="C187" s="108"/>
      <c r="D187" s="108"/>
      <c r="E187" s="108"/>
      <c r="F187" s="108"/>
      <c r="G187" s="108"/>
    </row>
    <row r="188" spans="1:7">
      <c r="A188" s="27"/>
      <c r="B188" s="108"/>
      <c r="C188" s="108"/>
      <c r="D188" s="108"/>
      <c r="E188" s="108"/>
      <c r="F188" s="108"/>
      <c r="G188" s="108"/>
    </row>
    <row r="189" spans="1:7">
      <c r="A189" s="27"/>
      <c r="B189" s="108"/>
      <c r="C189" s="108"/>
      <c r="D189" s="108"/>
      <c r="E189" s="108"/>
      <c r="F189" s="108"/>
      <c r="G189" s="108"/>
    </row>
    <row r="190" spans="1:7">
      <c r="A190" s="27"/>
      <c r="B190" s="108"/>
      <c r="C190" s="108"/>
      <c r="D190" s="108"/>
      <c r="E190" s="108"/>
      <c r="F190" s="108"/>
      <c r="G190" s="108"/>
    </row>
    <row r="191" spans="1:7">
      <c r="A191" s="27"/>
      <c r="B191" s="108"/>
      <c r="C191" s="108"/>
      <c r="D191" s="108"/>
      <c r="E191" s="108"/>
      <c r="F191" s="108"/>
      <c r="G191" s="108"/>
    </row>
    <row r="192" spans="1:7">
      <c r="A192" s="27"/>
      <c r="B192" s="108"/>
      <c r="C192" s="108"/>
      <c r="D192" s="108"/>
      <c r="E192" s="108"/>
      <c r="F192" s="108"/>
      <c r="G192" s="108"/>
    </row>
    <row r="193" spans="1:7">
      <c r="A193" s="27"/>
      <c r="B193" s="108"/>
      <c r="C193" s="108"/>
      <c r="D193" s="108"/>
      <c r="E193" s="108"/>
      <c r="F193" s="108"/>
      <c r="G193" s="108"/>
    </row>
    <row r="194" spans="1:7">
      <c r="A194" s="27"/>
      <c r="B194" s="108"/>
      <c r="C194" s="108"/>
      <c r="D194" s="108"/>
      <c r="E194" s="108"/>
      <c r="F194" s="108"/>
      <c r="G194" s="108"/>
    </row>
    <row r="195" spans="1:7">
      <c r="A195" s="27"/>
      <c r="B195" s="108"/>
      <c r="C195" s="108"/>
      <c r="D195" s="108"/>
      <c r="E195" s="108"/>
      <c r="F195" s="108"/>
      <c r="G195" s="108"/>
    </row>
    <row r="196" spans="1:7">
      <c r="A196" s="27"/>
      <c r="B196" s="108"/>
      <c r="C196" s="108"/>
      <c r="D196" s="108"/>
      <c r="E196" s="108"/>
      <c r="F196" s="108"/>
      <c r="G196" s="108"/>
    </row>
    <row r="197" spans="1:7">
      <c r="A197" s="27"/>
      <c r="B197" s="108"/>
      <c r="C197" s="108"/>
      <c r="D197" s="108"/>
      <c r="E197" s="108"/>
      <c r="F197" s="108"/>
      <c r="G197" s="108"/>
    </row>
    <row r="198" spans="1:7">
      <c r="A198" s="27"/>
      <c r="B198" s="108"/>
      <c r="C198" s="108"/>
      <c r="D198" s="108"/>
      <c r="E198" s="108"/>
      <c r="F198" s="108"/>
      <c r="G198" s="108"/>
    </row>
    <row r="199" spans="1:7">
      <c r="A199" s="27"/>
      <c r="B199" s="108"/>
      <c r="C199" s="108"/>
      <c r="D199" s="108"/>
      <c r="E199" s="108"/>
      <c r="F199" s="108"/>
      <c r="G199" s="108"/>
    </row>
    <row r="200" spans="1:7">
      <c r="A200" s="27"/>
      <c r="B200" s="108"/>
      <c r="C200" s="108"/>
      <c r="D200" s="108"/>
      <c r="E200" s="108"/>
      <c r="F200" s="108"/>
      <c r="G200" s="108"/>
    </row>
    <row r="201" spans="1:7">
      <c r="A201" s="27"/>
      <c r="B201" s="108"/>
      <c r="C201" s="108"/>
      <c r="D201" s="108"/>
      <c r="E201" s="108"/>
      <c r="F201" s="108"/>
      <c r="G201" s="108"/>
    </row>
    <row r="202" spans="1:7">
      <c r="A202" s="27"/>
      <c r="B202" s="108"/>
      <c r="C202" s="108"/>
      <c r="D202" s="108"/>
      <c r="E202" s="108"/>
      <c r="F202" s="108"/>
      <c r="G202" s="108"/>
    </row>
    <row r="203" spans="1:7">
      <c r="A203" s="27"/>
      <c r="B203" s="108"/>
      <c r="C203" s="108"/>
      <c r="D203" s="108"/>
      <c r="E203" s="108"/>
      <c r="F203" s="108"/>
      <c r="G203" s="108"/>
    </row>
    <row r="204" spans="1:7">
      <c r="A204" s="27"/>
      <c r="B204" s="108"/>
      <c r="C204" s="108"/>
      <c r="D204" s="108"/>
      <c r="E204" s="108"/>
      <c r="F204" s="108"/>
      <c r="G204" s="108"/>
    </row>
    <row r="205" spans="1:7">
      <c r="A205" s="27"/>
      <c r="B205" s="108"/>
      <c r="C205" s="108"/>
      <c r="D205" s="108"/>
      <c r="E205" s="108"/>
      <c r="F205" s="108"/>
      <c r="G205" s="108"/>
    </row>
    <row r="206" spans="1:7">
      <c r="A206" s="27"/>
      <c r="B206" s="108"/>
      <c r="C206" s="108"/>
      <c r="D206" s="108"/>
      <c r="E206" s="108"/>
      <c r="F206" s="108"/>
      <c r="G206" s="108"/>
    </row>
    <row r="207" spans="1:7">
      <c r="A207" s="27"/>
      <c r="B207" s="108"/>
      <c r="C207" s="108"/>
      <c r="D207" s="108"/>
      <c r="E207" s="108"/>
      <c r="F207" s="108"/>
      <c r="G207" s="108"/>
    </row>
    <row r="208" spans="1:7">
      <c r="A208" s="27"/>
      <c r="B208" s="108"/>
      <c r="C208" s="108"/>
      <c r="D208" s="108"/>
      <c r="E208" s="108"/>
      <c r="F208" s="108"/>
      <c r="G208" s="108"/>
    </row>
    <row r="209" spans="1:7">
      <c r="A209" s="27"/>
      <c r="B209" s="108"/>
      <c r="C209" s="108"/>
      <c r="D209" s="108"/>
      <c r="E209" s="108"/>
      <c r="F209" s="108"/>
      <c r="G209" s="108"/>
    </row>
    <row r="210" spans="1:7">
      <c r="A210" s="27"/>
      <c r="B210" s="108"/>
      <c r="C210" s="108"/>
      <c r="D210" s="108"/>
      <c r="E210" s="108"/>
      <c r="F210" s="108"/>
      <c r="G210" s="108"/>
    </row>
    <row r="211" spans="1:7">
      <c r="A211" s="27"/>
      <c r="B211" s="108"/>
      <c r="C211" s="108"/>
      <c r="D211" s="108"/>
      <c r="E211" s="108"/>
      <c r="F211" s="108"/>
      <c r="G211" s="108"/>
    </row>
    <row r="212" spans="1:7">
      <c r="A212" s="27"/>
      <c r="B212" s="108"/>
      <c r="C212" s="108"/>
      <c r="D212" s="108"/>
      <c r="E212" s="108"/>
      <c r="F212" s="108"/>
      <c r="G212" s="108"/>
    </row>
    <row r="213" spans="1:7">
      <c r="A213" s="27"/>
      <c r="B213" s="108"/>
      <c r="C213" s="108"/>
      <c r="D213" s="108"/>
      <c r="E213" s="108"/>
      <c r="F213" s="108"/>
      <c r="G213" s="108"/>
    </row>
    <row r="214" spans="1:7">
      <c r="A214" s="27"/>
      <c r="B214" s="108"/>
      <c r="C214" s="108"/>
      <c r="D214" s="108"/>
      <c r="E214" s="108"/>
      <c r="F214" s="108"/>
      <c r="G214" s="108"/>
    </row>
    <row r="215" spans="1:7">
      <c r="A215" s="27"/>
      <c r="B215" s="108"/>
      <c r="C215" s="108"/>
      <c r="D215" s="108"/>
      <c r="E215" s="108"/>
      <c r="F215" s="108"/>
      <c r="G215" s="108"/>
    </row>
    <row r="216" spans="1:7">
      <c r="A216" s="27"/>
      <c r="B216" s="108"/>
      <c r="C216" s="108"/>
      <c r="D216" s="108"/>
      <c r="E216" s="108"/>
      <c r="F216" s="108"/>
      <c r="G216" s="108"/>
    </row>
    <row r="217" spans="1:7">
      <c r="A217" s="27"/>
      <c r="B217" s="108"/>
      <c r="C217" s="108"/>
      <c r="D217" s="108"/>
      <c r="E217" s="108"/>
      <c r="F217" s="108"/>
      <c r="G217" s="108"/>
    </row>
    <row r="218" spans="1:7">
      <c r="A218" s="27"/>
      <c r="B218" s="108"/>
      <c r="C218" s="108"/>
      <c r="D218" s="108"/>
      <c r="E218" s="108"/>
      <c r="F218" s="108"/>
      <c r="G218" s="108"/>
    </row>
    <row r="219" spans="1:7">
      <c r="A219" s="27"/>
      <c r="B219" s="108"/>
      <c r="C219" s="108"/>
      <c r="D219" s="108"/>
      <c r="E219" s="108"/>
      <c r="F219" s="108"/>
      <c r="G219" s="108"/>
    </row>
    <row r="220" spans="1:7">
      <c r="A220" s="27"/>
      <c r="B220" s="108"/>
      <c r="C220" s="108"/>
      <c r="D220" s="108"/>
      <c r="E220" s="108"/>
      <c r="F220" s="108"/>
      <c r="G220" s="108"/>
    </row>
    <row r="221" spans="1:7">
      <c r="A221" s="27"/>
      <c r="B221" s="108"/>
      <c r="C221" s="108"/>
      <c r="D221" s="108"/>
      <c r="E221" s="108"/>
      <c r="F221" s="108"/>
      <c r="G221" s="108"/>
    </row>
    <row r="222" spans="1:7">
      <c r="A222" s="27"/>
      <c r="B222" s="108"/>
      <c r="C222" s="108"/>
      <c r="D222" s="108"/>
      <c r="E222" s="108"/>
      <c r="F222" s="108"/>
      <c r="G222" s="108"/>
    </row>
    <row r="223" spans="1:7">
      <c r="A223" s="27"/>
      <c r="B223" s="108"/>
      <c r="C223" s="108"/>
      <c r="D223" s="108"/>
      <c r="E223" s="108"/>
      <c r="F223" s="108"/>
      <c r="G223" s="108"/>
    </row>
    <row r="224" spans="1:7">
      <c r="A224" s="27"/>
      <c r="B224" s="108"/>
      <c r="C224" s="108"/>
      <c r="D224" s="108"/>
      <c r="E224" s="108"/>
      <c r="F224" s="108"/>
      <c r="G224" s="108"/>
    </row>
    <row r="225" spans="1:7">
      <c r="A225" s="27"/>
      <c r="B225" s="108"/>
      <c r="C225" s="108"/>
      <c r="D225" s="108"/>
      <c r="E225" s="108"/>
      <c r="F225" s="108"/>
      <c r="G225" s="108"/>
    </row>
    <row r="226" spans="1:7">
      <c r="A226" s="27"/>
      <c r="B226" s="108"/>
      <c r="C226" s="108"/>
      <c r="D226" s="108"/>
      <c r="E226" s="108"/>
      <c r="F226" s="108"/>
      <c r="G226" s="108"/>
    </row>
    <row r="227" spans="1:7">
      <c r="A227" s="27"/>
      <c r="B227" s="108"/>
      <c r="C227" s="108"/>
      <c r="D227" s="108"/>
      <c r="E227" s="108"/>
      <c r="F227" s="108"/>
      <c r="G227" s="108"/>
    </row>
    <row r="228" spans="1:7">
      <c r="A228" s="27"/>
      <c r="B228" s="108"/>
      <c r="C228" s="108"/>
      <c r="D228" s="108"/>
      <c r="E228" s="108"/>
      <c r="F228" s="108"/>
      <c r="G228" s="108"/>
    </row>
    <row r="229" spans="1:7">
      <c r="A229" s="27"/>
      <c r="B229" s="108"/>
      <c r="C229" s="108"/>
      <c r="D229" s="108"/>
      <c r="E229" s="108"/>
      <c r="F229" s="108"/>
      <c r="G229" s="108"/>
    </row>
    <row r="230" spans="1:7">
      <c r="A230" s="27"/>
      <c r="B230" s="108"/>
      <c r="C230" s="108"/>
      <c r="D230" s="108"/>
      <c r="E230" s="108"/>
      <c r="F230" s="108"/>
      <c r="G230" s="108"/>
    </row>
    <row r="231" spans="1:7">
      <c r="A231" s="27"/>
      <c r="B231" s="108"/>
      <c r="C231" s="108"/>
      <c r="D231" s="108"/>
      <c r="E231" s="108"/>
      <c r="F231" s="108"/>
      <c r="G231" s="108"/>
    </row>
    <row r="232" spans="1:7">
      <c r="A232" s="27"/>
      <c r="B232" s="108"/>
      <c r="C232" s="108"/>
      <c r="D232" s="108"/>
      <c r="E232" s="108"/>
      <c r="F232" s="108"/>
      <c r="G232" s="108"/>
    </row>
    <row r="233" spans="1:7">
      <c r="A233" s="27"/>
      <c r="B233" s="108"/>
      <c r="C233" s="108"/>
      <c r="D233" s="108"/>
      <c r="E233" s="108"/>
      <c r="F233" s="108"/>
      <c r="G233" s="108"/>
    </row>
    <row r="234" spans="1:7">
      <c r="A234" s="27"/>
      <c r="B234" s="108"/>
      <c r="C234" s="108"/>
      <c r="D234" s="108"/>
      <c r="E234" s="108"/>
      <c r="F234" s="108"/>
      <c r="G234" s="108"/>
    </row>
    <row r="235" spans="1:7">
      <c r="A235" s="27"/>
      <c r="B235" s="108"/>
      <c r="C235" s="108"/>
      <c r="D235" s="108"/>
      <c r="E235" s="108"/>
      <c r="F235" s="108"/>
      <c r="G235" s="108"/>
    </row>
    <row r="236" spans="1:7">
      <c r="A236" s="27"/>
      <c r="B236" s="108"/>
      <c r="C236" s="108"/>
      <c r="D236" s="108"/>
      <c r="E236" s="108"/>
      <c r="F236" s="108"/>
      <c r="G236" s="108"/>
    </row>
    <row r="237" spans="1:7">
      <c r="A237" s="27"/>
      <c r="B237" s="108"/>
      <c r="C237" s="108"/>
      <c r="D237" s="108"/>
      <c r="E237" s="108"/>
      <c r="F237" s="108"/>
      <c r="G237" s="108"/>
    </row>
    <row r="238" spans="1:7">
      <c r="A238" s="27"/>
      <c r="B238" s="108"/>
      <c r="C238" s="108"/>
      <c r="D238" s="108"/>
      <c r="E238" s="108"/>
      <c r="F238" s="108"/>
      <c r="G238" s="108"/>
    </row>
    <row r="239" spans="1:7">
      <c r="A239" s="27"/>
      <c r="B239" s="108"/>
      <c r="C239" s="108"/>
      <c r="D239" s="108"/>
      <c r="E239" s="108"/>
      <c r="F239" s="108"/>
      <c r="G239" s="108"/>
    </row>
    <row r="240" spans="1:7">
      <c r="A240" s="27"/>
      <c r="B240" s="108"/>
      <c r="C240" s="108"/>
      <c r="D240" s="108"/>
      <c r="E240" s="108"/>
      <c r="F240" s="108"/>
      <c r="G240" s="108"/>
    </row>
    <row r="241" spans="1:7">
      <c r="A241" s="27"/>
      <c r="B241" s="108"/>
      <c r="C241" s="108"/>
      <c r="D241" s="108"/>
      <c r="E241" s="108"/>
      <c r="F241" s="108"/>
      <c r="G241" s="108"/>
    </row>
    <row r="242" spans="1:7">
      <c r="A242" s="27"/>
      <c r="B242" s="108"/>
      <c r="C242" s="108"/>
      <c r="D242" s="108"/>
      <c r="E242" s="108"/>
      <c r="F242" s="108"/>
      <c r="G242" s="108"/>
    </row>
    <row r="243" spans="1:7">
      <c r="A243" s="27"/>
      <c r="B243" s="108"/>
      <c r="C243" s="108"/>
      <c r="D243" s="108"/>
      <c r="E243" s="108"/>
      <c r="F243" s="108"/>
      <c r="G243" s="108"/>
    </row>
    <row r="244" spans="1:7">
      <c r="A244" s="27"/>
      <c r="B244" s="108"/>
      <c r="C244" s="108"/>
      <c r="D244" s="108"/>
      <c r="E244" s="108"/>
      <c r="F244" s="108"/>
      <c r="G244" s="108"/>
    </row>
    <row r="245" spans="1:7">
      <c r="A245" s="27"/>
      <c r="B245" s="108"/>
      <c r="C245" s="108"/>
      <c r="D245" s="108"/>
      <c r="E245" s="108"/>
      <c r="F245" s="108"/>
      <c r="G245" s="108"/>
    </row>
    <row r="246" spans="1:7">
      <c r="A246" s="27"/>
      <c r="B246" s="108"/>
      <c r="C246" s="108"/>
      <c r="D246" s="108"/>
      <c r="E246" s="108"/>
      <c r="F246" s="108"/>
      <c r="G246" s="108"/>
    </row>
    <row r="247" spans="1:7">
      <c r="A247" s="27"/>
      <c r="B247" s="108"/>
      <c r="C247" s="108"/>
      <c r="D247" s="108"/>
      <c r="E247" s="108"/>
      <c r="F247" s="108"/>
      <c r="G247" s="108"/>
    </row>
    <row r="248" spans="1:7">
      <c r="A248" s="27"/>
      <c r="B248" s="108"/>
      <c r="C248" s="108"/>
      <c r="D248" s="108"/>
      <c r="E248" s="108"/>
      <c r="F248" s="108"/>
      <c r="G248" s="108"/>
    </row>
    <row r="249" spans="1:7">
      <c r="A249" s="27"/>
      <c r="B249" s="108"/>
      <c r="C249" s="108"/>
      <c r="D249" s="108"/>
      <c r="E249" s="108"/>
      <c r="F249" s="108"/>
      <c r="G249" s="108"/>
    </row>
    <row r="250" spans="1:7">
      <c r="A250" s="27"/>
      <c r="B250" s="108"/>
      <c r="C250" s="108"/>
      <c r="D250" s="108"/>
      <c r="E250" s="108"/>
      <c r="F250" s="108"/>
      <c r="G250" s="108"/>
    </row>
    <row r="251" spans="1:7">
      <c r="A251" s="27"/>
      <c r="B251" s="108"/>
      <c r="C251" s="108"/>
      <c r="D251" s="108"/>
      <c r="E251" s="108"/>
      <c r="F251" s="108"/>
      <c r="G251" s="108"/>
    </row>
    <row r="252" spans="1:7">
      <c r="A252" s="27"/>
      <c r="B252" s="108"/>
      <c r="C252" s="108"/>
      <c r="D252" s="108"/>
      <c r="E252" s="108"/>
      <c r="F252" s="108"/>
      <c r="G252" s="108"/>
    </row>
    <row r="253" spans="1:7">
      <c r="A253" s="27"/>
      <c r="B253" s="108"/>
      <c r="C253" s="108"/>
      <c r="D253" s="108"/>
      <c r="E253" s="108"/>
      <c r="F253" s="108"/>
      <c r="G253" s="108"/>
    </row>
    <row r="254" spans="1:7">
      <c r="A254" s="27"/>
      <c r="B254" s="108"/>
      <c r="C254" s="108"/>
      <c r="D254" s="108"/>
      <c r="E254" s="108"/>
      <c r="F254" s="108"/>
      <c r="G254" s="108"/>
    </row>
    <row r="255" spans="1:7">
      <c r="A255" s="27"/>
      <c r="B255" s="108"/>
      <c r="C255" s="108"/>
      <c r="D255" s="108"/>
      <c r="E255" s="108"/>
      <c r="F255" s="108"/>
      <c r="G255" s="108"/>
    </row>
    <row r="256" spans="1:7">
      <c r="A256" s="27"/>
      <c r="B256" s="108"/>
      <c r="C256" s="108"/>
      <c r="D256" s="108"/>
      <c r="E256" s="108"/>
      <c r="F256" s="108"/>
      <c r="G256" s="108"/>
    </row>
    <row r="257" spans="1:7">
      <c r="A257" s="27"/>
      <c r="B257" s="108"/>
      <c r="C257" s="108"/>
      <c r="D257" s="108"/>
      <c r="E257" s="108"/>
      <c r="F257" s="108"/>
      <c r="G257" s="108"/>
    </row>
    <row r="258" spans="1:7">
      <c r="A258" s="27"/>
      <c r="B258" s="108"/>
      <c r="C258" s="108"/>
      <c r="D258" s="108"/>
      <c r="E258" s="108"/>
      <c r="F258" s="108"/>
      <c r="G258" s="108"/>
    </row>
    <row r="259" spans="1:7">
      <c r="A259" s="27"/>
      <c r="B259" s="108"/>
      <c r="C259" s="108"/>
      <c r="D259" s="108"/>
      <c r="E259" s="108"/>
      <c r="F259" s="108"/>
      <c r="G259" s="108"/>
    </row>
    <row r="260" spans="1:7">
      <c r="A260" s="27"/>
      <c r="B260" s="108"/>
      <c r="C260" s="108"/>
      <c r="D260" s="108"/>
      <c r="E260" s="108"/>
      <c r="F260" s="108"/>
      <c r="G260" s="108"/>
    </row>
    <row r="261" spans="1:7">
      <c r="A261" s="27"/>
      <c r="B261" s="108"/>
      <c r="C261" s="108"/>
      <c r="D261" s="108"/>
      <c r="E261" s="108"/>
      <c r="F261" s="108"/>
      <c r="G261" s="108"/>
    </row>
    <row r="262" spans="1:7">
      <c r="A262" s="27"/>
      <c r="B262" s="108"/>
      <c r="C262" s="108"/>
      <c r="D262" s="108"/>
      <c r="E262" s="108"/>
      <c r="F262" s="108"/>
      <c r="G262" s="108"/>
    </row>
    <row r="263" spans="1:7">
      <c r="A263" s="27"/>
      <c r="B263" s="108"/>
      <c r="C263" s="108"/>
      <c r="D263" s="108"/>
      <c r="E263" s="108"/>
      <c r="F263" s="108"/>
      <c r="G263" s="108"/>
    </row>
    <row r="264" spans="1:7">
      <c r="A264" s="27"/>
      <c r="B264" s="108"/>
      <c r="C264" s="108"/>
      <c r="D264" s="108"/>
      <c r="E264" s="108"/>
      <c r="F264" s="108"/>
      <c r="G264" s="108"/>
    </row>
    <row r="265" spans="1:7">
      <c r="A265" s="27"/>
      <c r="B265" s="108"/>
      <c r="C265" s="108"/>
      <c r="D265" s="108"/>
      <c r="E265" s="108"/>
      <c r="F265" s="108"/>
      <c r="G265" s="108"/>
    </row>
    <row r="266" spans="1:7">
      <c r="A266" s="27"/>
      <c r="B266" s="108"/>
      <c r="C266" s="108"/>
      <c r="D266" s="108"/>
      <c r="E266" s="108"/>
      <c r="F266" s="108"/>
      <c r="G266" s="108"/>
    </row>
    <row r="267" spans="1:7">
      <c r="A267" s="27"/>
      <c r="B267" s="108"/>
      <c r="C267" s="108"/>
      <c r="D267" s="108"/>
      <c r="E267" s="108"/>
      <c r="F267" s="108"/>
      <c r="G267" s="108"/>
    </row>
    <row r="268" spans="1:7">
      <c r="A268" s="27"/>
      <c r="B268" s="108"/>
      <c r="C268" s="108"/>
      <c r="D268" s="108"/>
      <c r="E268" s="108"/>
      <c r="F268" s="108"/>
      <c r="G268" s="108"/>
    </row>
    <row r="269" spans="1:7">
      <c r="A269" s="27"/>
      <c r="B269" s="108"/>
      <c r="C269" s="108"/>
      <c r="D269" s="108"/>
      <c r="E269" s="108"/>
      <c r="F269" s="108"/>
      <c r="G269" s="108"/>
    </row>
    <row r="270" spans="1:7">
      <c r="A270" s="27"/>
      <c r="B270" s="108"/>
      <c r="C270" s="108"/>
      <c r="D270" s="108"/>
      <c r="E270" s="108"/>
      <c r="F270" s="108"/>
      <c r="G270" s="108"/>
    </row>
    <row r="271" spans="1:7">
      <c r="A271" s="27"/>
      <c r="B271" s="108"/>
      <c r="C271" s="108"/>
      <c r="D271" s="108"/>
      <c r="E271" s="108"/>
      <c r="F271" s="108"/>
      <c r="G271" s="108"/>
    </row>
    <row r="272" spans="1:7">
      <c r="A272" s="27"/>
      <c r="B272" s="108"/>
      <c r="C272" s="108"/>
      <c r="D272" s="108"/>
      <c r="E272" s="108"/>
      <c r="F272" s="108"/>
      <c r="G272" s="108"/>
    </row>
    <row r="273" spans="1:7">
      <c r="A273" s="27"/>
      <c r="B273" s="108"/>
      <c r="C273" s="108"/>
      <c r="D273" s="108"/>
      <c r="E273" s="108"/>
      <c r="F273" s="108"/>
      <c r="G273" s="108"/>
    </row>
    <row r="274" spans="1:7">
      <c r="A274" s="27"/>
      <c r="B274" s="108"/>
      <c r="C274" s="108"/>
      <c r="D274" s="108"/>
      <c r="E274" s="108"/>
      <c r="F274" s="108"/>
      <c r="G274" s="108"/>
    </row>
    <row r="275" spans="1:7">
      <c r="A275" s="27"/>
      <c r="B275" s="108"/>
      <c r="C275" s="108"/>
      <c r="D275" s="108"/>
      <c r="E275" s="108"/>
      <c r="F275" s="108"/>
      <c r="G275" s="108"/>
    </row>
    <row r="276" spans="1:7">
      <c r="A276" s="27"/>
      <c r="B276" s="108"/>
      <c r="C276" s="108"/>
      <c r="D276" s="108"/>
      <c r="E276" s="108"/>
      <c r="F276" s="108"/>
      <c r="G276" s="108"/>
    </row>
    <row r="277" spans="1:7">
      <c r="A277" s="27"/>
      <c r="B277" s="108"/>
      <c r="C277" s="108"/>
      <c r="D277" s="108"/>
      <c r="E277" s="108"/>
      <c r="F277" s="108"/>
      <c r="G277" s="108"/>
    </row>
    <row r="278" spans="1:7">
      <c r="A278" s="27"/>
      <c r="B278" s="108"/>
      <c r="C278" s="108"/>
      <c r="D278" s="108"/>
      <c r="E278" s="108"/>
      <c r="F278" s="108"/>
      <c r="G278" s="108"/>
    </row>
    <row r="279" spans="1:7">
      <c r="A279" s="27"/>
      <c r="B279" s="108"/>
      <c r="C279" s="108"/>
      <c r="D279" s="108"/>
      <c r="E279" s="108"/>
      <c r="F279" s="108"/>
      <c r="G279" s="108"/>
    </row>
    <row r="280" spans="1:7">
      <c r="A280" s="27"/>
      <c r="B280" s="108"/>
      <c r="C280" s="108"/>
      <c r="D280" s="108"/>
      <c r="E280" s="108"/>
      <c r="F280" s="108"/>
      <c r="G280" s="108"/>
    </row>
    <row r="281" spans="1:7">
      <c r="A281" s="27"/>
      <c r="B281" s="108"/>
      <c r="C281" s="108"/>
      <c r="D281" s="108"/>
      <c r="E281" s="108"/>
      <c r="F281" s="108"/>
      <c r="G281" s="108"/>
    </row>
    <row r="282" spans="1:7">
      <c r="A282" s="27"/>
      <c r="B282" s="108"/>
      <c r="C282" s="108"/>
      <c r="D282" s="108"/>
      <c r="E282" s="108"/>
      <c r="F282" s="108"/>
      <c r="G282" s="108"/>
    </row>
    <row r="283" spans="1:7">
      <c r="A283" s="27"/>
      <c r="B283" s="108"/>
      <c r="C283" s="108"/>
      <c r="D283" s="108"/>
      <c r="E283" s="108"/>
      <c r="F283" s="108"/>
      <c r="G283" s="108"/>
    </row>
    <row r="284" spans="1:7">
      <c r="A284" s="27"/>
      <c r="B284" s="108"/>
      <c r="C284" s="108"/>
      <c r="D284" s="108"/>
      <c r="E284" s="108"/>
      <c r="F284" s="108"/>
      <c r="G284" s="108"/>
    </row>
    <row r="285" spans="1:7">
      <c r="A285" s="27"/>
      <c r="B285" s="108"/>
      <c r="C285" s="108"/>
      <c r="D285" s="108"/>
      <c r="E285" s="108"/>
      <c r="F285" s="108"/>
      <c r="G285" s="108"/>
    </row>
    <row r="286" spans="1:7">
      <c r="A286" s="27"/>
      <c r="B286" s="108"/>
      <c r="C286" s="108"/>
      <c r="D286" s="108"/>
      <c r="E286" s="108"/>
      <c r="F286" s="108"/>
      <c r="G286" s="108"/>
    </row>
    <row r="287" spans="1:7">
      <c r="A287" s="27"/>
      <c r="B287" s="108"/>
      <c r="C287" s="108"/>
      <c r="D287" s="108"/>
      <c r="E287" s="108"/>
      <c r="F287" s="108"/>
      <c r="G287" s="108"/>
    </row>
    <row r="288" spans="1:7">
      <c r="A288" s="27"/>
      <c r="B288" s="108"/>
      <c r="C288" s="108"/>
      <c r="D288" s="108"/>
      <c r="E288" s="108"/>
      <c r="F288" s="108"/>
      <c r="G288" s="108"/>
    </row>
    <row r="289" spans="1:7">
      <c r="A289" s="27"/>
      <c r="B289" s="108"/>
      <c r="C289" s="108"/>
      <c r="D289" s="108"/>
      <c r="E289" s="108"/>
      <c r="F289" s="108"/>
      <c r="G289" s="108"/>
    </row>
    <row r="290" spans="1:7">
      <c r="A290" s="27"/>
      <c r="B290" s="108"/>
      <c r="C290" s="108"/>
      <c r="D290" s="108"/>
      <c r="E290" s="108"/>
      <c r="F290" s="108"/>
      <c r="G290" s="108"/>
    </row>
    <row r="291" spans="1:7">
      <c r="A291" s="27"/>
      <c r="B291" s="108"/>
      <c r="C291" s="108"/>
      <c r="D291" s="108"/>
      <c r="E291" s="108"/>
      <c r="F291" s="108"/>
      <c r="G291" s="108"/>
    </row>
    <row r="292" spans="1:7">
      <c r="A292" s="27"/>
      <c r="B292" s="108"/>
      <c r="C292" s="108"/>
      <c r="D292" s="108"/>
      <c r="E292" s="108"/>
      <c r="F292" s="108"/>
      <c r="G292" s="108"/>
    </row>
    <row r="293" spans="1:7">
      <c r="A293" s="27"/>
      <c r="B293" s="108"/>
      <c r="C293" s="108"/>
      <c r="D293" s="108"/>
      <c r="E293" s="108"/>
      <c r="F293" s="108"/>
      <c r="G293" s="108"/>
    </row>
    <row r="294" spans="1:7">
      <c r="A294" s="27"/>
      <c r="B294" s="108"/>
      <c r="C294" s="108"/>
      <c r="D294" s="108"/>
      <c r="E294" s="108"/>
      <c r="F294" s="108"/>
      <c r="G294" s="108"/>
    </row>
    <row r="295" spans="1:7">
      <c r="A295" s="27"/>
      <c r="B295" s="108"/>
      <c r="C295" s="108"/>
      <c r="D295" s="108"/>
      <c r="E295" s="108"/>
      <c r="F295" s="108"/>
      <c r="G295" s="108"/>
    </row>
    <row r="296" spans="1:7">
      <c r="A296" s="27"/>
      <c r="B296" s="108"/>
      <c r="C296" s="108"/>
      <c r="D296" s="108"/>
      <c r="E296" s="108"/>
      <c r="F296" s="108"/>
      <c r="G296" s="108"/>
    </row>
    <row r="297" spans="1:7">
      <c r="A297" s="27"/>
      <c r="B297" s="108"/>
      <c r="C297" s="108"/>
      <c r="D297" s="108"/>
      <c r="E297" s="108"/>
      <c r="F297" s="108"/>
      <c r="G297" s="108"/>
    </row>
    <row r="298" spans="1:7">
      <c r="A298" s="27"/>
      <c r="B298" s="108"/>
      <c r="C298" s="108"/>
      <c r="D298" s="108"/>
      <c r="E298" s="108"/>
      <c r="F298" s="108"/>
      <c r="G298" s="108"/>
    </row>
    <row r="299" spans="1:7">
      <c r="A299" s="27"/>
      <c r="B299" s="108"/>
      <c r="C299" s="108"/>
      <c r="D299" s="108"/>
      <c r="E299" s="108"/>
      <c r="F299" s="108"/>
      <c r="G299" s="108"/>
    </row>
    <row r="300" spans="1:7">
      <c r="A300" s="27"/>
      <c r="B300" s="108"/>
      <c r="C300" s="108"/>
      <c r="D300" s="108"/>
      <c r="E300" s="108"/>
      <c r="F300" s="108"/>
      <c r="G300" s="108"/>
    </row>
    <row r="301" spans="1:7">
      <c r="A301" s="27"/>
      <c r="B301" s="108"/>
      <c r="C301" s="108"/>
      <c r="D301" s="108"/>
      <c r="E301" s="108"/>
      <c r="F301" s="108"/>
      <c r="G301" s="108"/>
    </row>
    <row r="302" spans="1:7">
      <c r="A302" s="27"/>
      <c r="B302" s="108"/>
      <c r="C302" s="108"/>
      <c r="D302" s="108"/>
      <c r="E302" s="108"/>
      <c r="F302" s="108"/>
      <c r="G302" s="108"/>
    </row>
    <row r="303" spans="1:7">
      <c r="A303" s="27"/>
      <c r="B303" s="108"/>
      <c r="C303" s="108"/>
      <c r="D303" s="108"/>
      <c r="E303" s="108"/>
      <c r="F303" s="108"/>
      <c r="G303" s="108"/>
    </row>
    <row r="304" spans="1:7">
      <c r="A304" s="27"/>
      <c r="B304" s="108"/>
      <c r="C304" s="108"/>
      <c r="D304" s="108"/>
      <c r="E304" s="108"/>
      <c r="F304" s="108"/>
      <c r="G304" s="108"/>
    </row>
    <row r="305" spans="1:7">
      <c r="A305" s="27"/>
      <c r="B305" s="108"/>
      <c r="C305" s="108"/>
      <c r="D305" s="108"/>
      <c r="E305" s="108"/>
      <c r="F305" s="108"/>
      <c r="G305" s="108"/>
    </row>
    <row r="306" spans="1:7">
      <c r="A306" s="27"/>
      <c r="B306" s="108"/>
      <c r="C306" s="108"/>
      <c r="D306" s="108"/>
      <c r="E306" s="108"/>
      <c r="F306" s="108"/>
      <c r="G306" s="108"/>
    </row>
    <row r="307" spans="1:7">
      <c r="A307" s="27"/>
      <c r="B307" s="108"/>
      <c r="C307" s="108"/>
      <c r="D307" s="108"/>
      <c r="E307" s="108"/>
      <c r="F307" s="108"/>
      <c r="G307" s="108"/>
    </row>
    <row r="308" spans="1:7">
      <c r="A308" s="27"/>
      <c r="B308" s="108"/>
      <c r="C308" s="108"/>
      <c r="D308" s="108"/>
      <c r="E308" s="108"/>
      <c r="F308" s="108"/>
      <c r="G308" s="108"/>
    </row>
    <row r="309" spans="1:7">
      <c r="A309" s="27"/>
      <c r="B309" s="108"/>
      <c r="C309" s="108"/>
      <c r="D309" s="108"/>
      <c r="E309" s="108"/>
      <c r="F309" s="108"/>
      <c r="G309" s="108"/>
    </row>
    <row r="310" spans="1:7">
      <c r="A310" s="27"/>
      <c r="B310" s="108"/>
      <c r="C310" s="108"/>
      <c r="D310" s="108"/>
      <c r="E310" s="108"/>
      <c r="F310" s="108"/>
      <c r="G310" s="108"/>
    </row>
    <row r="311" spans="1:7">
      <c r="A311" s="27"/>
      <c r="B311" s="108"/>
      <c r="C311" s="108"/>
      <c r="D311" s="108"/>
      <c r="E311" s="108"/>
      <c r="F311" s="108"/>
      <c r="G311" s="108"/>
    </row>
    <row r="312" spans="1:7">
      <c r="A312" s="27"/>
      <c r="B312" s="108"/>
      <c r="C312" s="108"/>
      <c r="D312" s="108"/>
      <c r="E312" s="108"/>
      <c r="F312" s="108"/>
      <c r="G312" s="108"/>
    </row>
    <row r="313" spans="1:7">
      <c r="A313" s="27"/>
      <c r="B313" s="108"/>
      <c r="C313" s="108"/>
      <c r="D313" s="108"/>
      <c r="E313" s="108"/>
      <c r="F313" s="108"/>
      <c r="G313" s="108"/>
    </row>
    <row r="314" spans="1:7">
      <c r="A314" s="27"/>
      <c r="B314" s="108"/>
      <c r="C314" s="108"/>
      <c r="D314" s="108"/>
      <c r="E314" s="108"/>
      <c r="F314" s="108"/>
      <c r="G314" s="108"/>
    </row>
    <row r="315" spans="1:7">
      <c r="A315" s="27"/>
      <c r="B315" s="108"/>
      <c r="C315" s="108"/>
      <c r="D315" s="108"/>
      <c r="E315" s="108"/>
      <c r="F315" s="108"/>
      <c r="G315" s="108"/>
    </row>
    <row r="316" spans="1:7">
      <c r="A316" s="27"/>
      <c r="B316" s="108"/>
      <c r="C316" s="108"/>
      <c r="D316" s="108"/>
      <c r="E316" s="108"/>
      <c r="F316" s="108"/>
      <c r="G316" s="108"/>
    </row>
    <row r="317" spans="1:7">
      <c r="A317" s="27"/>
      <c r="B317" s="108"/>
      <c r="C317" s="108"/>
      <c r="D317" s="108"/>
      <c r="E317" s="108"/>
      <c r="F317" s="108"/>
      <c r="G317" s="108"/>
    </row>
    <row r="318" spans="1:7">
      <c r="A318" s="27"/>
      <c r="B318" s="108"/>
      <c r="C318" s="108"/>
      <c r="D318" s="108"/>
      <c r="E318" s="108"/>
      <c r="F318" s="108"/>
      <c r="G318" s="108"/>
    </row>
    <row r="319" spans="1:7">
      <c r="A319" s="27"/>
      <c r="B319" s="108"/>
      <c r="C319" s="108"/>
      <c r="D319" s="108"/>
      <c r="E319" s="108"/>
      <c r="F319" s="108"/>
      <c r="G319" s="108"/>
    </row>
    <row r="320" spans="1:7">
      <c r="A320" s="27"/>
      <c r="B320" s="108"/>
      <c r="C320" s="108"/>
      <c r="D320" s="108"/>
      <c r="E320" s="108"/>
      <c r="F320" s="108"/>
      <c r="G320" s="108"/>
    </row>
    <row r="321" spans="1:7">
      <c r="A321" s="27"/>
      <c r="B321" s="108"/>
      <c r="C321" s="108"/>
      <c r="D321" s="108"/>
      <c r="E321" s="108"/>
      <c r="F321" s="108"/>
      <c r="G321" s="108"/>
    </row>
    <row r="322" spans="1:7">
      <c r="A322" s="27"/>
      <c r="B322" s="108"/>
      <c r="C322" s="108"/>
      <c r="D322" s="108"/>
      <c r="E322" s="108"/>
      <c r="F322" s="108"/>
      <c r="G322" s="108"/>
    </row>
    <row r="323" spans="1:7">
      <c r="A323" s="27"/>
      <c r="B323" s="108"/>
      <c r="C323" s="108"/>
      <c r="D323" s="108"/>
      <c r="E323" s="108"/>
      <c r="F323" s="108"/>
      <c r="G323" s="108"/>
    </row>
    <row r="324" spans="1:7">
      <c r="A324" s="27"/>
      <c r="B324" s="108"/>
      <c r="C324" s="108"/>
      <c r="D324" s="108"/>
      <c r="E324" s="108"/>
      <c r="F324" s="108"/>
      <c r="G324" s="108"/>
    </row>
    <row r="325" spans="1:7">
      <c r="A325" s="27"/>
      <c r="B325" s="108"/>
      <c r="C325" s="108"/>
      <c r="D325" s="108"/>
      <c r="E325" s="108"/>
      <c r="F325" s="108"/>
      <c r="G325" s="108"/>
    </row>
    <row r="326" spans="1:7">
      <c r="A326" s="27"/>
      <c r="B326" s="108"/>
      <c r="C326" s="108"/>
      <c r="D326" s="108"/>
      <c r="E326" s="108"/>
      <c r="F326" s="108"/>
      <c r="G326" s="108"/>
    </row>
    <row r="327" spans="1:7">
      <c r="A327" s="27"/>
      <c r="B327" s="108"/>
      <c r="C327" s="108"/>
      <c r="D327" s="108"/>
      <c r="E327" s="108"/>
      <c r="F327" s="108"/>
      <c r="G327" s="108"/>
    </row>
    <row r="328" spans="1:7">
      <c r="A328" s="27"/>
      <c r="B328" s="108"/>
      <c r="C328" s="108"/>
      <c r="D328" s="108"/>
      <c r="E328" s="108"/>
      <c r="F328" s="108"/>
      <c r="G328" s="108"/>
    </row>
    <row r="329" spans="1:7">
      <c r="A329" s="27"/>
      <c r="B329" s="108"/>
      <c r="C329" s="108"/>
      <c r="D329" s="108"/>
      <c r="E329" s="108"/>
      <c r="F329" s="108"/>
      <c r="G329" s="108"/>
    </row>
    <row r="330" spans="1:7">
      <c r="A330" s="27"/>
      <c r="B330" s="108"/>
      <c r="C330" s="108"/>
      <c r="D330" s="108"/>
      <c r="E330" s="108"/>
      <c r="F330" s="108"/>
      <c r="G330" s="108"/>
    </row>
    <row r="331" spans="1:7">
      <c r="A331" s="27"/>
      <c r="B331" s="108"/>
      <c r="C331" s="108"/>
      <c r="D331" s="108"/>
      <c r="E331" s="108"/>
      <c r="F331" s="108"/>
      <c r="G331" s="108"/>
    </row>
    <row r="332" spans="1:7">
      <c r="A332" s="27"/>
      <c r="B332" s="108"/>
      <c r="C332" s="108"/>
      <c r="D332" s="108"/>
      <c r="E332" s="108"/>
      <c r="F332" s="108"/>
      <c r="G332" s="108"/>
    </row>
    <row r="333" spans="1:7">
      <c r="A333" s="27"/>
      <c r="B333" s="108"/>
      <c r="C333" s="108"/>
      <c r="D333" s="108"/>
      <c r="E333" s="108"/>
      <c r="F333" s="108"/>
      <c r="G333" s="108"/>
    </row>
    <row r="334" spans="1:7">
      <c r="A334" s="27"/>
      <c r="B334" s="108"/>
      <c r="C334" s="108"/>
      <c r="D334" s="108"/>
      <c r="E334" s="108"/>
      <c r="F334" s="108"/>
      <c r="G334" s="108"/>
    </row>
    <row r="335" spans="1:7">
      <c r="A335" s="27"/>
      <c r="B335" s="108"/>
      <c r="C335" s="108"/>
      <c r="D335" s="108"/>
      <c r="E335" s="108"/>
      <c r="F335" s="108"/>
      <c r="G335" s="108"/>
    </row>
    <row r="336" spans="1:7">
      <c r="A336" s="27"/>
      <c r="B336" s="108"/>
      <c r="C336" s="108"/>
      <c r="D336" s="108"/>
      <c r="E336" s="108"/>
      <c r="F336" s="108"/>
      <c r="G336" s="108"/>
    </row>
    <row r="337" spans="1:7">
      <c r="A337" s="27"/>
      <c r="B337" s="108"/>
      <c r="C337" s="108"/>
      <c r="D337" s="108"/>
      <c r="E337" s="108"/>
      <c r="F337" s="108"/>
      <c r="G337" s="108"/>
    </row>
    <row r="338" spans="1:7">
      <c r="A338" s="27"/>
      <c r="B338" s="108"/>
      <c r="C338" s="108"/>
      <c r="D338" s="108"/>
      <c r="E338" s="108"/>
      <c r="F338" s="108"/>
      <c r="G338" s="108"/>
    </row>
    <row r="339" spans="1:7">
      <c r="A339" s="27"/>
      <c r="B339" s="108"/>
      <c r="C339" s="108"/>
      <c r="D339" s="108"/>
      <c r="E339" s="108"/>
      <c r="F339" s="108"/>
      <c r="G339" s="108"/>
    </row>
    <row r="340" spans="1:7">
      <c r="A340" s="27"/>
      <c r="B340" s="108"/>
      <c r="C340" s="108"/>
      <c r="D340" s="108"/>
      <c r="E340" s="108"/>
      <c r="F340" s="108"/>
      <c r="G340" s="108"/>
    </row>
    <row r="341" spans="1:7">
      <c r="A341" s="27"/>
      <c r="B341" s="108"/>
      <c r="C341" s="108"/>
      <c r="D341" s="108"/>
      <c r="E341" s="108"/>
      <c r="F341" s="108"/>
      <c r="G341" s="108"/>
    </row>
    <row r="342" spans="1:7">
      <c r="A342" s="27"/>
      <c r="B342" s="108"/>
      <c r="C342" s="108"/>
      <c r="D342" s="108"/>
      <c r="E342" s="108"/>
      <c r="F342" s="108"/>
      <c r="G342" s="108"/>
    </row>
    <row r="343" spans="1:7">
      <c r="A343" s="27"/>
      <c r="B343" s="108"/>
      <c r="C343" s="108"/>
      <c r="D343" s="108"/>
      <c r="E343" s="108"/>
      <c r="F343" s="108"/>
      <c r="G343" s="108"/>
    </row>
    <row r="344" spans="1:7">
      <c r="A344" s="27"/>
      <c r="B344" s="108"/>
      <c r="C344" s="108"/>
      <c r="D344" s="108"/>
      <c r="E344" s="108"/>
      <c r="F344" s="108"/>
      <c r="G344" s="108"/>
    </row>
    <row r="345" spans="1:7">
      <c r="A345" s="27"/>
      <c r="B345" s="108"/>
      <c r="C345" s="108"/>
      <c r="D345" s="108"/>
      <c r="E345" s="108"/>
      <c r="F345" s="108"/>
      <c r="G345" s="108"/>
    </row>
    <row r="346" spans="1:7">
      <c r="A346" s="27"/>
      <c r="B346" s="108"/>
      <c r="C346" s="108"/>
      <c r="D346" s="108"/>
      <c r="E346" s="108"/>
      <c r="F346" s="108"/>
      <c r="G346" s="108"/>
    </row>
    <row r="347" spans="1:7">
      <c r="A347" s="27"/>
      <c r="B347" s="108"/>
      <c r="C347" s="108"/>
      <c r="D347" s="108"/>
      <c r="E347" s="108"/>
      <c r="F347" s="108"/>
      <c r="G347" s="108"/>
    </row>
    <row r="348" spans="1:7">
      <c r="A348" s="27"/>
      <c r="B348" s="108"/>
      <c r="C348" s="108"/>
      <c r="D348" s="108"/>
      <c r="E348" s="108"/>
      <c r="F348" s="108"/>
      <c r="G348" s="108"/>
    </row>
    <row r="349" spans="1:7">
      <c r="A349" s="27"/>
      <c r="B349" s="108"/>
      <c r="C349" s="108"/>
      <c r="D349" s="108"/>
      <c r="E349" s="108"/>
      <c r="F349" s="108"/>
      <c r="G349" s="108"/>
    </row>
    <row r="350" spans="1:7">
      <c r="A350" s="27"/>
      <c r="B350" s="108"/>
      <c r="C350" s="108"/>
      <c r="D350" s="108"/>
      <c r="E350" s="108"/>
      <c r="F350" s="108"/>
      <c r="G350" s="108"/>
    </row>
    <row r="351" spans="1:7">
      <c r="A351" s="27"/>
      <c r="B351" s="108"/>
      <c r="C351" s="108"/>
      <c r="D351" s="108"/>
      <c r="E351" s="108"/>
      <c r="F351" s="108"/>
      <c r="G351" s="108"/>
    </row>
    <row r="352" spans="1:7">
      <c r="A352" s="27"/>
      <c r="B352" s="108"/>
      <c r="C352" s="108"/>
      <c r="D352" s="108"/>
      <c r="E352" s="108"/>
      <c r="F352" s="108"/>
      <c r="G352" s="108"/>
    </row>
    <row r="353" spans="1:7">
      <c r="A353" s="27"/>
      <c r="B353" s="108"/>
      <c r="C353" s="108"/>
      <c r="D353" s="108"/>
      <c r="E353" s="108"/>
      <c r="F353" s="108"/>
      <c r="G353" s="108"/>
    </row>
    <row r="354" spans="1:7">
      <c r="A354" s="27"/>
      <c r="B354" s="108"/>
      <c r="C354" s="108"/>
      <c r="D354" s="108"/>
      <c r="E354" s="108"/>
      <c r="F354" s="108"/>
      <c r="G354" s="108"/>
    </row>
    <row r="355" spans="1:7">
      <c r="A355" s="27"/>
      <c r="B355" s="108"/>
      <c r="C355" s="108"/>
      <c r="D355" s="108"/>
      <c r="E355" s="108"/>
      <c r="F355" s="108"/>
      <c r="G355" s="108"/>
    </row>
    <row r="356" spans="1:7">
      <c r="A356" s="27"/>
      <c r="B356" s="108"/>
      <c r="C356" s="108"/>
      <c r="D356" s="108"/>
      <c r="E356" s="108"/>
      <c r="F356" s="108"/>
      <c r="G356" s="108"/>
    </row>
    <row r="357" spans="1:7">
      <c r="A357" s="27"/>
      <c r="B357" s="108"/>
      <c r="C357" s="108"/>
      <c r="D357" s="108"/>
      <c r="E357" s="108"/>
      <c r="F357" s="108"/>
      <c r="G357" s="108"/>
    </row>
    <row r="358" spans="1:7">
      <c r="A358" s="27"/>
      <c r="B358" s="108"/>
      <c r="C358" s="108"/>
      <c r="D358" s="108"/>
      <c r="E358" s="108"/>
      <c r="F358" s="108"/>
      <c r="G358" s="108"/>
    </row>
    <row r="359" spans="1:7">
      <c r="A359" s="27"/>
      <c r="B359" s="108"/>
      <c r="C359" s="108"/>
      <c r="D359" s="108"/>
      <c r="E359" s="108"/>
      <c r="F359" s="108"/>
      <c r="G359" s="108"/>
    </row>
    <row r="360" spans="1:7">
      <c r="A360" s="27"/>
      <c r="B360" s="108"/>
      <c r="C360" s="108"/>
      <c r="D360" s="108"/>
      <c r="E360" s="108"/>
      <c r="F360" s="108"/>
      <c r="G360" s="108"/>
    </row>
    <row r="361" spans="1:7">
      <c r="A361" s="27"/>
      <c r="B361" s="108"/>
      <c r="C361" s="108"/>
      <c r="D361" s="108"/>
      <c r="E361" s="108"/>
      <c r="F361" s="108"/>
      <c r="G361" s="108"/>
    </row>
    <row r="362" spans="1:7">
      <c r="A362" s="27"/>
      <c r="B362" s="108"/>
      <c r="C362" s="108"/>
      <c r="D362" s="108"/>
      <c r="E362" s="108"/>
      <c r="F362" s="108"/>
      <c r="G362" s="108"/>
    </row>
    <row r="363" spans="1:7">
      <c r="A363" s="27"/>
      <c r="B363" s="108"/>
      <c r="C363" s="108"/>
      <c r="D363" s="108"/>
      <c r="E363" s="108"/>
      <c r="F363" s="108"/>
      <c r="G363" s="108"/>
    </row>
    <row r="364" spans="1:7">
      <c r="A364" s="27"/>
      <c r="B364" s="108"/>
      <c r="C364" s="108"/>
      <c r="D364" s="108"/>
      <c r="E364" s="108"/>
      <c r="F364" s="108"/>
      <c r="G364" s="108"/>
    </row>
    <row r="365" spans="1:7">
      <c r="A365" s="27"/>
      <c r="B365" s="108"/>
      <c r="C365" s="108"/>
      <c r="D365" s="108"/>
      <c r="E365" s="108"/>
      <c r="F365" s="108"/>
      <c r="G365" s="108"/>
    </row>
    <row r="366" spans="1:7">
      <c r="A366" s="27"/>
      <c r="B366" s="108"/>
      <c r="C366" s="108"/>
      <c r="D366" s="108"/>
      <c r="E366" s="108"/>
      <c r="F366" s="108"/>
      <c r="G366" s="108"/>
    </row>
    <row r="367" spans="1:7">
      <c r="A367" s="27"/>
      <c r="B367" s="108"/>
      <c r="C367" s="108"/>
      <c r="D367" s="108"/>
      <c r="E367" s="108"/>
      <c r="F367" s="108"/>
      <c r="G367" s="108"/>
    </row>
    <row r="368" spans="1:7">
      <c r="A368" s="27"/>
      <c r="B368" s="108"/>
      <c r="C368" s="108"/>
      <c r="D368" s="108"/>
      <c r="E368" s="108"/>
      <c r="F368" s="108"/>
      <c r="G368" s="108"/>
    </row>
    <row r="369" spans="1:7">
      <c r="A369" s="27"/>
      <c r="B369" s="108"/>
      <c r="C369" s="108"/>
      <c r="D369" s="108"/>
      <c r="E369" s="108"/>
      <c r="F369" s="108"/>
      <c r="G369" s="108"/>
    </row>
    <row r="370" spans="1:7">
      <c r="A370" s="27"/>
      <c r="B370" s="108"/>
      <c r="C370" s="108"/>
      <c r="D370" s="108"/>
      <c r="E370" s="108"/>
      <c r="F370" s="108"/>
      <c r="G370" s="108"/>
    </row>
    <row r="371" spans="1:7">
      <c r="A371" s="27"/>
      <c r="B371" s="108"/>
      <c r="C371" s="108"/>
      <c r="D371" s="108"/>
      <c r="E371" s="108"/>
      <c r="F371" s="108"/>
      <c r="G371" s="108"/>
    </row>
    <row r="372" spans="1:7">
      <c r="A372" s="27"/>
      <c r="B372" s="108"/>
      <c r="C372" s="108"/>
      <c r="D372" s="108"/>
      <c r="E372" s="108"/>
      <c r="F372" s="108"/>
      <c r="G372" s="108"/>
    </row>
    <row r="373" spans="1:7">
      <c r="A373" s="27"/>
      <c r="B373" s="108"/>
      <c r="C373" s="108"/>
      <c r="D373" s="108"/>
      <c r="E373" s="108"/>
      <c r="F373" s="108"/>
      <c r="G373" s="108"/>
    </row>
    <row r="374" spans="1:7">
      <c r="A374" s="27"/>
      <c r="B374" s="108"/>
      <c r="C374" s="108"/>
      <c r="D374" s="108"/>
      <c r="E374" s="108"/>
      <c r="F374" s="108"/>
      <c r="G374" s="108"/>
    </row>
    <row r="375" spans="1:7">
      <c r="A375" s="27"/>
      <c r="B375" s="108"/>
      <c r="C375" s="108"/>
      <c r="D375" s="108"/>
      <c r="E375" s="108"/>
      <c r="F375" s="108"/>
      <c r="G375" s="108"/>
    </row>
    <row r="376" spans="1:7">
      <c r="A376" s="27"/>
      <c r="B376" s="108"/>
      <c r="C376" s="108"/>
      <c r="D376" s="108"/>
      <c r="E376" s="108"/>
      <c r="F376" s="108"/>
      <c r="G376" s="108"/>
    </row>
    <row r="377" spans="1:7">
      <c r="A377" s="27"/>
      <c r="B377" s="108"/>
      <c r="C377" s="108"/>
      <c r="D377" s="108"/>
      <c r="E377" s="108"/>
      <c r="F377" s="108"/>
      <c r="G377" s="108"/>
    </row>
    <row r="378" spans="1:7">
      <c r="A378" s="27"/>
      <c r="B378" s="108"/>
      <c r="C378" s="108"/>
      <c r="D378" s="108"/>
      <c r="E378" s="108"/>
      <c r="F378" s="108"/>
      <c r="G378" s="108"/>
    </row>
    <row r="379" spans="1:7">
      <c r="A379" s="27"/>
      <c r="B379" s="108"/>
      <c r="C379" s="108"/>
      <c r="D379" s="108"/>
      <c r="E379" s="108"/>
      <c r="F379" s="108"/>
      <c r="G379" s="108"/>
    </row>
    <row r="380" spans="1:7">
      <c r="A380" s="27"/>
      <c r="B380" s="108"/>
      <c r="C380" s="108"/>
      <c r="D380" s="108"/>
      <c r="E380" s="108"/>
      <c r="F380" s="108"/>
      <c r="G380" s="108"/>
    </row>
    <row r="381" spans="1:7">
      <c r="A381" s="27"/>
      <c r="B381" s="108"/>
      <c r="C381" s="108"/>
      <c r="D381" s="108"/>
      <c r="E381" s="108"/>
      <c r="F381" s="108"/>
      <c r="G381" s="108"/>
    </row>
    <row r="382" spans="1:7">
      <c r="A382" s="27"/>
      <c r="B382" s="108"/>
      <c r="C382" s="108"/>
      <c r="D382" s="108"/>
      <c r="E382" s="108"/>
      <c r="F382" s="108"/>
      <c r="G382" s="108"/>
    </row>
    <row r="383" spans="1:7">
      <c r="A383" s="27"/>
      <c r="B383" s="108"/>
      <c r="C383" s="108"/>
      <c r="D383" s="108"/>
      <c r="E383" s="108"/>
      <c r="F383" s="108"/>
      <c r="G383" s="108"/>
    </row>
    <row r="384" spans="1:7">
      <c r="A384" s="27"/>
      <c r="B384" s="108"/>
      <c r="C384" s="108"/>
      <c r="D384" s="108"/>
      <c r="E384" s="108"/>
      <c r="F384" s="108"/>
      <c r="G384" s="108"/>
    </row>
    <row r="385" spans="1:7">
      <c r="A385" s="27"/>
      <c r="B385" s="108"/>
      <c r="C385" s="108"/>
      <c r="D385" s="108"/>
      <c r="E385" s="108"/>
      <c r="F385" s="108"/>
      <c r="G385" s="108"/>
    </row>
    <row r="386" spans="1:7">
      <c r="A386" s="27"/>
      <c r="B386" s="108"/>
      <c r="C386" s="108"/>
      <c r="D386" s="108"/>
      <c r="E386" s="108"/>
      <c r="F386" s="108"/>
      <c r="G386" s="108"/>
    </row>
    <row r="387" spans="1:7">
      <c r="A387" s="27"/>
      <c r="B387" s="108"/>
      <c r="C387" s="108"/>
      <c r="D387" s="108"/>
      <c r="E387" s="108"/>
      <c r="F387" s="108"/>
      <c r="G387" s="108"/>
    </row>
    <row r="388" spans="1:7">
      <c r="A388" s="27"/>
      <c r="B388" s="108"/>
      <c r="C388" s="108"/>
      <c r="D388" s="108"/>
      <c r="E388" s="108"/>
      <c r="F388" s="108"/>
      <c r="G388" s="108"/>
    </row>
    <row r="389" spans="1:7">
      <c r="A389" s="27"/>
      <c r="B389" s="108"/>
      <c r="C389" s="108"/>
      <c r="D389" s="108"/>
      <c r="E389" s="108"/>
      <c r="F389" s="108"/>
      <c r="G389" s="108"/>
    </row>
    <row r="390" spans="1:7">
      <c r="A390" s="27"/>
      <c r="B390" s="108"/>
      <c r="C390" s="108"/>
      <c r="D390" s="108"/>
      <c r="E390" s="108"/>
      <c r="F390" s="108"/>
      <c r="G390" s="108"/>
    </row>
    <row r="391" spans="1:7">
      <c r="A391" s="27"/>
      <c r="B391" s="108"/>
      <c r="C391" s="108"/>
      <c r="D391" s="108"/>
      <c r="E391" s="108"/>
      <c r="F391" s="108"/>
      <c r="G391" s="108"/>
    </row>
    <row r="392" spans="1:7">
      <c r="A392" s="27"/>
      <c r="B392" s="108"/>
      <c r="C392" s="108"/>
      <c r="D392" s="108"/>
      <c r="E392" s="108"/>
      <c r="F392" s="108"/>
      <c r="G392" s="108"/>
    </row>
    <row r="393" spans="1:7">
      <c r="A393" s="27"/>
      <c r="B393" s="108"/>
      <c r="C393" s="108"/>
      <c r="D393" s="108"/>
      <c r="E393" s="108"/>
      <c r="F393" s="108"/>
      <c r="G393" s="108"/>
    </row>
    <row r="394" spans="1:7">
      <c r="A394" s="27"/>
      <c r="B394" s="108"/>
      <c r="C394" s="108"/>
      <c r="D394" s="108"/>
      <c r="E394" s="108"/>
      <c r="F394" s="108"/>
      <c r="G394" s="108"/>
    </row>
    <row r="395" spans="1:7">
      <c r="A395" s="27"/>
      <c r="B395" s="108"/>
      <c r="C395" s="108"/>
      <c r="D395" s="108"/>
      <c r="E395" s="108"/>
      <c r="F395" s="108"/>
      <c r="G395" s="108"/>
    </row>
    <row r="396" spans="1:7">
      <c r="A396" s="27"/>
      <c r="B396" s="108"/>
      <c r="C396" s="108"/>
      <c r="D396" s="108"/>
      <c r="E396" s="108"/>
      <c r="F396" s="108"/>
      <c r="G396" s="108"/>
    </row>
    <row r="397" spans="1:7">
      <c r="A397" s="27"/>
      <c r="B397" s="108"/>
      <c r="C397" s="108"/>
      <c r="D397" s="108"/>
      <c r="E397" s="108"/>
      <c r="F397" s="108"/>
      <c r="G397" s="108"/>
    </row>
    <row r="398" spans="1:7">
      <c r="A398" s="27"/>
      <c r="B398" s="108"/>
      <c r="C398" s="108"/>
      <c r="D398" s="108"/>
      <c r="E398" s="108"/>
      <c r="F398" s="108"/>
      <c r="G398" s="108"/>
    </row>
    <row r="399" spans="1:7">
      <c r="A399" s="27"/>
      <c r="B399" s="108"/>
      <c r="C399" s="108"/>
      <c r="D399" s="108"/>
      <c r="E399" s="108"/>
      <c r="F399" s="108"/>
      <c r="G399" s="108"/>
    </row>
    <row r="400" spans="1:7">
      <c r="A400" s="27"/>
      <c r="B400" s="108"/>
      <c r="C400" s="108"/>
      <c r="D400" s="108"/>
      <c r="E400" s="108"/>
      <c r="F400" s="108"/>
      <c r="G400" s="108"/>
    </row>
    <row r="401" spans="1:7">
      <c r="A401" s="27"/>
      <c r="B401" s="108"/>
      <c r="C401" s="108"/>
      <c r="D401" s="108"/>
      <c r="E401" s="108"/>
      <c r="F401" s="108"/>
      <c r="G401" s="108"/>
    </row>
    <row r="402" spans="1:7">
      <c r="A402" s="27"/>
      <c r="B402" s="108"/>
      <c r="C402" s="108"/>
      <c r="D402" s="108"/>
      <c r="E402" s="108"/>
      <c r="F402" s="108"/>
      <c r="G402" s="108"/>
    </row>
    <row r="403" spans="1:7">
      <c r="A403" s="27"/>
      <c r="B403" s="108"/>
      <c r="C403" s="108"/>
      <c r="D403" s="108"/>
      <c r="E403" s="108"/>
      <c r="F403" s="108"/>
      <c r="G403" s="108"/>
    </row>
    <row r="404" spans="1:7">
      <c r="A404" s="27"/>
      <c r="B404" s="108"/>
      <c r="C404" s="108"/>
      <c r="D404" s="108"/>
      <c r="E404" s="108"/>
      <c r="F404" s="108"/>
      <c r="G404" s="108"/>
    </row>
    <row r="405" spans="1:7">
      <c r="A405" s="27"/>
      <c r="B405" s="108"/>
      <c r="C405" s="108"/>
      <c r="D405" s="108"/>
      <c r="E405" s="108"/>
      <c r="F405" s="108"/>
      <c r="G405" s="108"/>
    </row>
    <row r="406" spans="1:7">
      <c r="A406" s="27"/>
      <c r="B406" s="108"/>
      <c r="C406" s="108"/>
      <c r="D406" s="108"/>
      <c r="E406" s="108"/>
      <c r="F406" s="108"/>
      <c r="G406" s="108"/>
    </row>
    <row r="407" spans="1:7">
      <c r="A407" s="27"/>
      <c r="B407" s="108"/>
      <c r="C407" s="108"/>
      <c r="D407" s="108"/>
      <c r="E407" s="108"/>
      <c r="F407" s="108"/>
      <c r="G407" s="108"/>
    </row>
    <row r="408" spans="1:7">
      <c r="A408" s="27"/>
      <c r="B408" s="108"/>
      <c r="C408" s="108"/>
      <c r="D408" s="108"/>
      <c r="E408" s="108"/>
      <c r="F408" s="108"/>
      <c r="G408" s="108"/>
    </row>
    <row r="409" spans="1:7">
      <c r="A409" s="27"/>
      <c r="B409" s="108"/>
      <c r="C409" s="108"/>
      <c r="D409" s="108"/>
      <c r="E409" s="108"/>
      <c r="F409" s="108"/>
      <c r="G409" s="108"/>
    </row>
    <row r="410" spans="1:7">
      <c r="A410" s="27"/>
      <c r="B410" s="108"/>
      <c r="C410" s="108"/>
      <c r="D410" s="108"/>
      <c r="E410" s="108"/>
      <c r="F410" s="108"/>
      <c r="G410" s="108"/>
    </row>
    <row r="411" spans="1:7">
      <c r="A411" s="27"/>
      <c r="B411" s="108"/>
      <c r="C411" s="108"/>
      <c r="D411" s="108"/>
      <c r="E411" s="108"/>
      <c r="F411" s="108"/>
      <c r="G411" s="108"/>
    </row>
    <row r="412" spans="1:7">
      <c r="A412" s="27"/>
      <c r="B412" s="108"/>
      <c r="C412" s="108"/>
      <c r="D412" s="108"/>
      <c r="E412" s="108"/>
      <c r="F412" s="108"/>
      <c r="G412" s="108"/>
    </row>
    <row r="413" spans="1:7">
      <c r="A413" s="27"/>
      <c r="B413" s="108"/>
      <c r="C413" s="108"/>
      <c r="D413" s="108"/>
      <c r="E413" s="108"/>
      <c r="F413" s="108"/>
      <c r="G413" s="108"/>
    </row>
    <row r="414" spans="1:7">
      <c r="A414" s="27"/>
      <c r="B414" s="108"/>
      <c r="C414" s="108"/>
      <c r="D414" s="108"/>
      <c r="E414" s="108"/>
      <c r="F414" s="108"/>
      <c r="G414" s="108"/>
    </row>
    <row r="415" spans="1:7">
      <c r="A415" s="27"/>
      <c r="B415" s="108"/>
      <c r="C415" s="108"/>
      <c r="D415" s="108"/>
      <c r="E415" s="108"/>
      <c r="F415" s="108"/>
      <c r="G415" s="108"/>
    </row>
    <row r="416" spans="1:7">
      <c r="A416" s="27"/>
      <c r="B416" s="108"/>
      <c r="C416" s="108"/>
      <c r="D416" s="108"/>
      <c r="E416" s="108"/>
      <c r="F416" s="108"/>
      <c r="G416" s="108"/>
    </row>
    <row r="417" spans="1:7">
      <c r="A417" s="27"/>
      <c r="B417" s="108"/>
      <c r="C417" s="108"/>
      <c r="D417" s="108"/>
      <c r="E417" s="108"/>
      <c r="F417" s="108"/>
      <c r="G417" s="108"/>
    </row>
    <row r="418" spans="1:7">
      <c r="A418" s="27"/>
      <c r="B418" s="108"/>
      <c r="C418" s="108"/>
      <c r="D418" s="108"/>
      <c r="E418" s="108"/>
      <c r="F418" s="108"/>
      <c r="G418" s="108"/>
    </row>
    <row r="419" spans="1:7">
      <c r="A419" s="27"/>
      <c r="B419" s="108"/>
      <c r="C419" s="108"/>
      <c r="D419" s="108"/>
      <c r="E419" s="108"/>
      <c r="F419" s="108"/>
      <c r="G419" s="108"/>
    </row>
    <row r="420" spans="1:7">
      <c r="A420" s="27"/>
      <c r="B420" s="108"/>
      <c r="C420" s="108"/>
      <c r="D420" s="108"/>
      <c r="E420" s="108"/>
      <c r="F420" s="108"/>
      <c r="G420" s="108"/>
    </row>
    <row r="421" spans="1:7">
      <c r="A421" s="27"/>
      <c r="B421" s="108"/>
      <c r="C421" s="108"/>
      <c r="D421" s="108"/>
      <c r="E421" s="108"/>
      <c r="F421" s="108"/>
      <c r="G421" s="108"/>
    </row>
    <row r="422" spans="1:7">
      <c r="A422" s="27"/>
      <c r="B422" s="108"/>
      <c r="C422" s="108"/>
      <c r="D422" s="108"/>
      <c r="E422" s="108"/>
      <c r="F422" s="108"/>
      <c r="G422" s="108"/>
    </row>
    <row r="423" spans="1:7">
      <c r="A423" s="27"/>
      <c r="B423" s="108"/>
      <c r="C423" s="108"/>
      <c r="D423" s="108"/>
      <c r="E423" s="108"/>
      <c r="F423" s="108"/>
      <c r="G423" s="108"/>
    </row>
    <row r="424" spans="1:7">
      <c r="A424" s="27"/>
      <c r="B424" s="108"/>
      <c r="C424" s="108"/>
      <c r="D424" s="108"/>
      <c r="E424" s="108"/>
      <c r="F424" s="108"/>
      <c r="G424" s="108"/>
    </row>
    <row r="425" spans="1:7">
      <c r="A425" s="27"/>
      <c r="B425" s="108"/>
      <c r="C425" s="108"/>
      <c r="D425" s="108"/>
      <c r="E425" s="108"/>
      <c r="F425" s="108"/>
      <c r="G425" s="108"/>
    </row>
    <row r="426" spans="1:7">
      <c r="A426" s="27"/>
      <c r="B426" s="108"/>
      <c r="C426" s="108"/>
      <c r="D426" s="108"/>
      <c r="E426" s="108"/>
      <c r="F426" s="108"/>
      <c r="G426" s="108"/>
    </row>
    <row r="427" spans="1:7">
      <c r="A427" s="27"/>
      <c r="B427" s="108"/>
      <c r="C427" s="108"/>
      <c r="D427" s="108"/>
      <c r="E427" s="108"/>
      <c r="F427" s="108"/>
      <c r="G427" s="108"/>
    </row>
    <row r="428" spans="1:7">
      <c r="A428" s="27"/>
      <c r="B428" s="108"/>
      <c r="C428" s="108"/>
      <c r="D428" s="108"/>
      <c r="E428" s="108"/>
      <c r="F428" s="108"/>
      <c r="G428" s="108"/>
    </row>
    <row r="429" spans="1:7">
      <c r="A429" s="27"/>
      <c r="B429" s="108"/>
      <c r="C429" s="108"/>
      <c r="D429" s="108"/>
      <c r="E429" s="108"/>
      <c r="F429" s="108"/>
      <c r="G429" s="108"/>
    </row>
    <row r="430" spans="1:7">
      <c r="A430" s="27"/>
      <c r="B430" s="108"/>
      <c r="C430" s="108"/>
      <c r="D430" s="108"/>
      <c r="E430" s="108"/>
      <c r="F430" s="108"/>
      <c r="G430" s="108"/>
    </row>
    <row r="431" spans="1:7">
      <c r="A431" s="27"/>
      <c r="B431" s="108"/>
      <c r="C431" s="108"/>
      <c r="D431" s="108"/>
      <c r="E431" s="108"/>
      <c r="F431" s="108"/>
      <c r="G431" s="108"/>
    </row>
    <row r="432" spans="1:7">
      <c r="A432" s="27"/>
      <c r="B432" s="108"/>
      <c r="C432" s="108"/>
      <c r="D432" s="108"/>
      <c r="E432" s="108"/>
      <c r="F432" s="108"/>
      <c r="G432" s="108"/>
    </row>
    <row r="433" spans="1:7">
      <c r="A433" s="27"/>
      <c r="B433" s="108"/>
      <c r="C433" s="108"/>
      <c r="D433" s="108"/>
      <c r="E433" s="108"/>
      <c r="F433" s="108"/>
      <c r="G433" s="108"/>
    </row>
    <row r="434" spans="1:7">
      <c r="A434" s="27"/>
      <c r="B434" s="108"/>
      <c r="C434" s="108"/>
      <c r="D434" s="108"/>
      <c r="E434" s="108"/>
      <c r="F434" s="108"/>
      <c r="G434" s="108"/>
    </row>
    <row r="435" spans="1:7">
      <c r="A435" s="27"/>
      <c r="B435" s="108"/>
      <c r="C435" s="108"/>
      <c r="D435" s="108"/>
      <c r="E435" s="108"/>
      <c r="F435" s="108"/>
      <c r="G435" s="108"/>
    </row>
    <row r="436" spans="1:7">
      <c r="A436" s="27"/>
      <c r="B436" s="108"/>
      <c r="C436" s="108"/>
      <c r="D436" s="108"/>
      <c r="E436" s="108"/>
      <c r="F436" s="108"/>
      <c r="G436" s="108"/>
    </row>
    <row r="437" spans="1:7">
      <c r="A437" s="27"/>
      <c r="B437" s="108"/>
      <c r="C437" s="108"/>
      <c r="D437" s="108"/>
      <c r="E437" s="108"/>
      <c r="F437" s="108"/>
      <c r="G437" s="108"/>
    </row>
    <row r="438" spans="1:7">
      <c r="A438" s="27"/>
      <c r="B438" s="108"/>
      <c r="C438" s="108"/>
      <c r="D438" s="108"/>
      <c r="E438" s="108"/>
      <c r="F438" s="108"/>
      <c r="G438" s="108"/>
    </row>
    <row r="439" spans="1:7">
      <c r="A439" s="27"/>
      <c r="B439" s="108"/>
      <c r="C439" s="108"/>
      <c r="D439" s="108"/>
      <c r="E439" s="108"/>
      <c r="F439" s="108"/>
      <c r="G439" s="108"/>
    </row>
    <row r="440" spans="1:7">
      <c r="A440" s="27"/>
      <c r="B440" s="108"/>
      <c r="C440" s="108"/>
      <c r="D440" s="108"/>
      <c r="E440" s="108"/>
      <c r="F440" s="108"/>
      <c r="G440" s="108"/>
    </row>
    <row r="441" spans="1:7">
      <c r="A441" s="27"/>
      <c r="B441" s="108"/>
      <c r="C441" s="108"/>
      <c r="D441" s="108"/>
      <c r="E441" s="108"/>
      <c r="F441" s="108"/>
      <c r="G441" s="108"/>
    </row>
    <row r="442" spans="1:7">
      <c r="A442" s="27"/>
      <c r="B442" s="108"/>
      <c r="C442" s="108"/>
      <c r="D442" s="108"/>
      <c r="E442" s="108"/>
      <c r="F442" s="108"/>
      <c r="G442" s="108"/>
    </row>
    <row r="443" spans="1:7">
      <c r="A443" s="27"/>
      <c r="B443" s="108"/>
      <c r="C443" s="108"/>
      <c r="D443" s="108"/>
      <c r="E443" s="108"/>
      <c r="F443" s="108"/>
      <c r="G443" s="108"/>
    </row>
    <row r="444" spans="1:7">
      <c r="A444" s="27"/>
      <c r="B444" s="108"/>
      <c r="C444" s="108"/>
      <c r="D444" s="108"/>
      <c r="E444" s="108"/>
      <c r="F444" s="108"/>
      <c r="G444" s="108"/>
    </row>
    <row r="445" spans="1:7">
      <c r="A445" s="27"/>
      <c r="B445" s="108"/>
      <c r="C445" s="108"/>
      <c r="D445" s="108"/>
      <c r="E445" s="108"/>
      <c r="F445" s="108"/>
      <c r="G445" s="108"/>
    </row>
    <row r="446" spans="1:7">
      <c r="A446" s="27"/>
      <c r="B446" s="108"/>
      <c r="C446" s="108"/>
      <c r="D446" s="108"/>
      <c r="E446" s="108"/>
      <c r="F446" s="108"/>
      <c r="G446" s="108"/>
    </row>
    <row r="447" spans="1:7">
      <c r="A447" s="27"/>
      <c r="B447" s="108"/>
      <c r="C447" s="108"/>
      <c r="D447" s="108"/>
      <c r="E447" s="108"/>
      <c r="F447" s="108"/>
      <c r="G447" s="108"/>
    </row>
    <row r="448" spans="1:7">
      <c r="A448" s="27"/>
      <c r="B448" s="108"/>
      <c r="C448" s="108"/>
      <c r="D448" s="108"/>
      <c r="E448" s="108"/>
      <c r="F448" s="108"/>
      <c r="G448" s="108"/>
    </row>
    <row r="449" spans="1:7">
      <c r="A449" s="27"/>
      <c r="B449" s="108"/>
      <c r="C449" s="108"/>
      <c r="D449" s="108"/>
      <c r="E449" s="108"/>
      <c r="F449" s="108"/>
      <c r="G449" s="108"/>
    </row>
    <row r="450" spans="1:7">
      <c r="A450" s="27"/>
      <c r="B450" s="108"/>
      <c r="C450" s="108"/>
      <c r="D450" s="108"/>
      <c r="E450" s="108"/>
      <c r="F450" s="108"/>
      <c r="G450" s="108"/>
    </row>
    <row r="451" spans="1:7">
      <c r="A451" s="27"/>
      <c r="B451" s="108"/>
      <c r="C451" s="108"/>
      <c r="D451" s="108"/>
      <c r="E451" s="108"/>
      <c r="F451" s="108"/>
      <c r="G451" s="108"/>
    </row>
    <row r="452" spans="1:7">
      <c r="A452" s="27"/>
      <c r="B452" s="108"/>
      <c r="C452" s="108"/>
      <c r="D452" s="108"/>
      <c r="E452" s="108"/>
      <c r="F452" s="108"/>
      <c r="G452" s="108"/>
    </row>
    <row r="453" spans="1:7">
      <c r="A453" s="27"/>
      <c r="B453" s="108"/>
      <c r="C453" s="108"/>
      <c r="D453" s="108"/>
      <c r="E453" s="108"/>
      <c r="F453" s="108"/>
      <c r="G453" s="108"/>
    </row>
    <row r="454" spans="1:7">
      <c r="A454" s="27"/>
      <c r="B454" s="108"/>
      <c r="C454" s="108"/>
      <c r="D454" s="108"/>
      <c r="E454" s="108"/>
      <c r="F454" s="108"/>
      <c r="G454" s="108"/>
    </row>
    <row r="455" spans="1:7">
      <c r="A455" s="27"/>
      <c r="B455" s="108"/>
      <c r="C455" s="108"/>
      <c r="D455" s="108"/>
      <c r="E455" s="108"/>
      <c r="F455" s="108"/>
      <c r="G455" s="108"/>
    </row>
    <row r="456" spans="1:7">
      <c r="A456" s="27"/>
      <c r="B456" s="108"/>
      <c r="C456" s="108"/>
      <c r="D456" s="108"/>
      <c r="E456" s="108"/>
      <c r="F456" s="108"/>
      <c r="G456" s="108"/>
    </row>
    <row r="457" spans="1:7">
      <c r="A457" s="27"/>
      <c r="B457" s="108"/>
      <c r="C457" s="108"/>
      <c r="D457" s="108"/>
      <c r="E457" s="108"/>
      <c r="F457" s="108"/>
      <c r="G457" s="108"/>
    </row>
    <row r="458" spans="1:7">
      <c r="A458" s="27"/>
      <c r="B458" s="108"/>
      <c r="C458" s="108"/>
      <c r="D458" s="108"/>
      <c r="E458" s="108"/>
      <c r="F458" s="108"/>
      <c r="G458" s="108"/>
    </row>
    <row r="459" spans="1:7">
      <c r="A459" s="27"/>
      <c r="B459" s="108"/>
      <c r="C459" s="108"/>
      <c r="D459" s="108"/>
      <c r="E459" s="108"/>
      <c r="F459" s="108"/>
      <c r="G459" s="108"/>
    </row>
    <row r="460" spans="1:7">
      <c r="A460" s="27"/>
      <c r="B460" s="108"/>
      <c r="C460" s="108"/>
      <c r="D460" s="108"/>
      <c r="E460" s="108"/>
      <c r="F460" s="108"/>
      <c r="G460" s="108"/>
    </row>
    <row r="461" spans="1:7">
      <c r="A461" s="27"/>
      <c r="B461" s="108"/>
      <c r="C461" s="108"/>
      <c r="D461" s="108"/>
      <c r="E461" s="108"/>
      <c r="F461" s="108"/>
      <c r="G461" s="108"/>
    </row>
    <row r="462" spans="1:7">
      <c r="A462" s="27"/>
      <c r="B462" s="108"/>
      <c r="C462" s="108"/>
      <c r="D462" s="108"/>
      <c r="E462" s="108"/>
      <c r="F462" s="108"/>
      <c r="G462" s="108"/>
    </row>
    <row r="463" spans="1:7">
      <c r="A463" s="27"/>
      <c r="B463" s="108"/>
      <c r="C463" s="108"/>
      <c r="D463" s="108"/>
      <c r="E463" s="108"/>
      <c r="F463" s="108"/>
      <c r="G463" s="108"/>
    </row>
    <row r="464" spans="1:7">
      <c r="A464" s="27"/>
      <c r="B464" s="108"/>
      <c r="C464" s="108"/>
      <c r="D464" s="108"/>
      <c r="E464" s="108"/>
      <c r="F464" s="108"/>
      <c r="G464" s="108"/>
    </row>
    <row r="465" spans="1:7">
      <c r="A465" s="27"/>
      <c r="B465" s="108"/>
      <c r="C465" s="108"/>
      <c r="D465" s="108"/>
      <c r="E465" s="108"/>
      <c r="F465" s="108"/>
      <c r="G465" s="108"/>
    </row>
    <row r="466" spans="1:7">
      <c r="A466" s="27"/>
      <c r="B466" s="108"/>
      <c r="C466" s="108"/>
      <c r="D466" s="108"/>
      <c r="E466" s="108"/>
      <c r="F466" s="108"/>
      <c r="G466" s="108"/>
    </row>
    <row r="467" spans="1:7">
      <c r="A467" s="27"/>
      <c r="B467" s="108"/>
      <c r="C467" s="108"/>
      <c r="D467" s="108"/>
      <c r="E467" s="108"/>
      <c r="F467" s="108"/>
      <c r="G467" s="108"/>
    </row>
    <row r="468" spans="1:7">
      <c r="A468" s="27"/>
      <c r="B468" s="108"/>
      <c r="C468" s="108"/>
      <c r="D468" s="108"/>
      <c r="E468" s="108"/>
      <c r="F468" s="108"/>
      <c r="G468" s="108"/>
    </row>
    <row r="469" spans="1:7">
      <c r="A469" s="27"/>
      <c r="B469" s="108"/>
      <c r="C469" s="108"/>
      <c r="D469" s="108"/>
      <c r="E469" s="108"/>
      <c r="F469" s="108"/>
      <c r="G469" s="108"/>
    </row>
    <row r="470" spans="1:7">
      <c r="A470" s="27"/>
      <c r="B470" s="108"/>
      <c r="C470" s="108"/>
      <c r="D470" s="108"/>
      <c r="E470" s="108"/>
      <c r="F470" s="108"/>
      <c r="G470" s="108"/>
    </row>
    <row r="471" spans="1:7">
      <c r="A471" s="27"/>
      <c r="B471" s="108"/>
      <c r="C471" s="108"/>
      <c r="D471" s="108"/>
      <c r="E471" s="108"/>
      <c r="F471" s="108"/>
      <c r="G471" s="108"/>
    </row>
    <row r="472" spans="1:7">
      <c r="A472" s="27"/>
      <c r="B472" s="108"/>
      <c r="C472" s="108"/>
      <c r="D472" s="108"/>
      <c r="E472" s="108"/>
      <c r="F472" s="108"/>
      <c r="G472" s="108"/>
    </row>
    <row r="473" spans="1:7">
      <c r="A473" s="27"/>
      <c r="B473" s="108"/>
      <c r="C473" s="108"/>
      <c r="D473" s="108"/>
      <c r="E473" s="108"/>
      <c r="F473" s="108"/>
      <c r="G473" s="108"/>
    </row>
    <row r="474" spans="1:7">
      <c r="A474" s="27"/>
      <c r="B474" s="108"/>
      <c r="C474" s="108"/>
      <c r="D474" s="108"/>
      <c r="E474" s="108"/>
      <c r="F474" s="108"/>
      <c r="G474" s="108"/>
    </row>
    <row r="475" spans="1:7">
      <c r="A475" s="27"/>
      <c r="B475" s="108"/>
      <c r="C475" s="108"/>
      <c r="D475" s="108"/>
      <c r="E475" s="108"/>
      <c r="F475" s="108"/>
      <c r="G475" s="108"/>
    </row>
    <row r="476" spans="1:7">
      <c r="A476" s="27"/>
      <c r="B476" s="108"/>
      <c r="C476" s="108"/>
      <c r="D476" s="108"/>
      <c r="E476" s="108"/>
      <c r="F476" s="108"/>
      <c r="G476" s="108"/>
    </row>
    <row r="477" spans="1:7">
      <c r="A477" s="27"/>
      <c r="B477" s="108"/>
      <c r="C477" s="108"/>
      <c r="D477" s="108"/>
      <c r="E477" s="108"/>
      <c r="F477" s="108"/>
      <c r="G477" s="108"/>
    </row>
    <row r="478" spans="1:7">
      <c r="A478" s="27"/>
      <c r="B478" s="108"/>
      <c r="C478" s="108"/>
      <c r="D478" s="108"/>
      <c r="E478" s="108"/>
      <c r="F478" s="108"/>
      <c r="G478" s="108"/>
    </row>
    <row r="479" spans="1:7">
      <c r="A479" s="27"/>
      <c r="B479" s="108"/>
      <c r="C479" s="108"/>
      <c r="D479" s="108"/>
      <c r="E479" s="108"/>
      <c r="F479" s="108"/>
      <c r="G479" s="108"/>
    </row>
    <row r="480" spans="1:7">
      <c r="A480" s="27"/>
      <c r="B480" s="108"/>
      <c r="C480" s="108"/>
      <c r="D480" s="108"/>
      <c r="E480" s="108"/>
      <c r="F480" s="108"/>
      <c r="G480" s="108"/>
    </row>
    <row r="481" spans="1:7">
      <c r="A481" s="27"/>
      <c r="B481" s="108"/>
      <c r="C481" s="108"/>
      <c r="D481" s="108"/>
      <c r="E481" s="108"/>
      <c r="F481" s="108"/>
      <c r="G481" s="108"/>
    </row>
    <row r="482" spans="1:7">
      <c r="A482" s="27"/>
      <c r="B482" s="108"/>
      <c r="C482" s="108"/>
      <c r="D482" s="108"/>
      <c r="E482" s="108"/>
      <c r="F482" s="108"/>
      <c r="G482" s="108"/>
    </row>
    <row r="483" spans="1:7">
      <c r="A483" s="27"/>
      <c r="B483" s="108"/>
      <c r="C483" s="108"/>
      <c r="D483" s="108"/>
      <c r="E483" s="108"/>
      <c r="F483" s="108"/>
      <c r="G483" s="108"/>
    </row>
    <row r="484" spans="1:7">
      <c r="A484" s="27"/>
      <c r="B484" s="108"/>
      <c r="C484" s="108"/>
      <c r="D484" s="108"/>
      <c r="E484" s="108"/>
      <c r="F484" s="108"/>
      <c r="G484" s="108"/>
    </row>
    <row r="485" spans="1:7">
      <c r="A485" s="27"/>
      <c r="B485" s="108"/>
      <c r="C485" s="108"/>
      <c r="D485" s="108"/>
      <c r="E485" s="108"/>
      <c r="F485" s="108"/>
      <c r="G485" s="108"/>
    </row>
    <row r="486" spans="1:7">
      <c r="A486" s="27"/>
      <c r="B486" s="108"/>
      <c r="C486" s="108"/>
      <c r="D486" s="108"/>
      <c r="E486" s="108"/>
      <c r="F486" s="108"/>
      <c r="G486" s="108"/>
    </row>
    <row r="487" spans="1:7">
      <c r="A487" s="27"/>
      <c r="B487" s="108"/>
      <c r="C487" s="108"/>
      <c r="D487" s="108"/>
      <c r="E487" s="108"/>
      <c r="F487" s="108"/>
      <c r="G487" s="108"/>
    </row>
    <row r="488" spans="1:7">
      <c r="A488" s="27"/>
      <c r="B488" s="108"/>
      <c r="C488" s="108"/>
      <c r="D488" s="108"/>
      <c r="E488" s="108"/>
      <c r="F488" s="108"/>
      <c r="G488" s="108"/>
    </row>
    <row r="489" spans="1:7">
      <c r="A489" s="27"/>
      <c r="B489" s="108"/>
      <c r="C489" s="108"/>
      <c r="D489" s="108"/>
      <c r="E489" s="108"/>
      <c r="F489" s="108"/>
      <c r="G489" s="108"/>
    </row>
    <row r="490" spans="1:7">
      <c r="A490" s="27"/>
      <c r="B490" s="108"/>
      <c r="C490" s="108"/>
      <c r="D490" s="108"/>
      <c r="E490" s="108"/>
      <c r="F490" s="108"/>
      <c r="G490" s="108"/>
    </row>
    <row r="491" spans="1:7">
      <c r="A491" s="27"/>
      <c r="B491" s="108"/>
      <c r="C491" s="108"/>
      <c r="D491" s="108"/>
      <c r="E491" s="108"/>
      <c r="F491" s="108"/>
      <c r="G491" s="108"/>
    </row>
    <row r="492" spans="1:7">
      <c r="A492" s="27"/>
      <c r="B492" s="108"/>
      <c r="C492" s="108"/>
      <c r="D492" s="108"/>
      <c r="E492" s="108"/>
      <c r="F492" s="108"/>
      <c r="G492" s="108"/>
    </row>
    <row r="493" spans="1:7">
      <c r="A493" s="27"/>
      <c r="B493" s="108"/>
      <c r="C493" s="108"/>
      <c r="D493" s="108"/>
      <c r="E493" s="108"/>
      <c r="F493" s="108"/>
      <c r="G493" s="108"/>
    </row>
    <row r="494" spans="1:7">
      <c r="A494" s="27"/>
      <c r="B494" s="108"/>
      <c r="C494" s="108"/>
      <c r="D494" s="108"/>
      <c r="E494" s="108"/>
      <c r="F494" s="108"/>
      <c r="G494" s="108"/>
    </row>
    <row r="495" spans="1:7">
      <c r="A495" s="27"/>
      <c r="B495" s="108"/>
      <c r="C495" s="108"/>
      <c r="D495" s="108"/>
      <c r="E495" s="108"/>
      <c r="F495" s="108"/>
      <c r="G495" s="108"/>
    </row>
    <row r="496" spans="1:7">
      <c r="A496" s="27"/>
      <c r="B496" s="108"/>
      <c r="C496" s="108"/>
      <c r="D496" s="108"/>
      <c r="E496" s="108"/>
      <c r="F496" s="108"/>
      <c r="G496" s="108"/>
    </row>
    <row r="497" spans="1:7">
      <c r="A497" s="27"/>
      <c r="B497" s="108"/>
      <c r="C497" s="108"/>
      <c r="D497" s="108"/>
      <c r="E497" s="108"/>
      <c r="F497" s="108"/>
      <c r="G497" s="108"/>
    </row>
    <row r="498" spans="1:7">
      <c r="A498" s="27"/>
      <c r="B498" s="108"/>
      <c r="C498" s="108"/>
      <c r="D498" s="108"/>
      <c r="E498" s="108"/>
      <c r="F498" s="108"/>
      <c r="G498" s="108"/>
    </row>
    <row r="499" spans="1:7">
      <c r="A499" s="27"/>
      <c r="B499" s="108"/>
      <c r="C499" s="108"/>
      <c r="D499" s="108"/>
      <c r="E499" s="108"/>
      <c r="F499" s="108"/>
      <c r="G499" s="108"/>
    </row>
    <row r="500" spans="1:7">
      <c r="A500" s="27"/>
      <c r="B500" s="108"/>
      <c r="C500" s="108"/>
      <c r="D500" s="108"/>
      <c r="E500" s="108"/>
      <c r="F500" s="108"/>
      <c r="G500" s="108"/>
    </row>
    <row r="501" spans="1:7">
      <c r="A501" s="27"/>
      <c r="B501" s="108"/>
      <c r="C501" s="108"/>
      <c r="D501" s="108"/>
      <c r="E501" s="108"/>
      <c r="F501" s="108"/>
      <c r="G501" s="108"/>
    </row>
    <row r="502" spans="1:7">
      <c r="A502" s="27"/>
      <c r="B502" s="108"/>
      <c r="C502" s="108"/>
      <c r="D502" s="108"/>
      <c r="E502" s="108"/>
      <c r="F502" s="108"/>
      <c r="G502" s="108"/>
    </row>
    <row r="503" spans="1:7">
      <c r="A503" s="27"/>
      <c r="B503" s="108"/>
      <c r="C503" s="108"/>
      <c r="D503" s="108"/>
      <c r="E503" s="108"/>
      <c r="F503" s="108"/>
      <c r="G503" s="108"/>
    </row>
    <row r="504" spans="1:7">
      <c r="A504" s="27"/>
      <c r="B504" s="108"/>
      <c r="C504" s="108"/>
      <c r="D504" s="108"/>
      <c r="E504" s="108"/>
      <c r="F504" s="108"/>
      <c r="G504" s="108"/>
    </row>
    <row r="505" spans="1:7">
      <c r="A505" s="27"/>
      <c r="B505" s="108"/>
      <c r="C505" s="108"/>
      <c r="D505" s="108"/>
      <c r="E505" s="108"/>
      <c r="F505" s="108"/>
      <c r="G505" s="108"/>
    </row>
    <row r="506" spans="1:7">
      <c r="A506" s="27"/>
      <c r="B506" s="108"/>
      <c r="C506" s="108"/>
      <c r="D506" s="108"/>
      <c r="E506" s="108"/>
      <c r="F506" s="108"/>
      <c r="G506" s="108"/>
    </row>
    <row r="507" spans="1:7">
      <c r="A507" s="27"/>
      <c r="B507" s="108"/>
      <c r="C507" s="108"/>
      <c r="D507" s="108"/>
      <c r="E507" s="108"/>
      <c r="F507" s="108"/>
      <c r="G507" s="108"/>
    </row>
    <row r="508" spans="1:7">
      <c r="A508" s="27"/>
      <c r="B508" s="108"/>
      <c r="C508" s="108"/>
      <c r="D508" s="108"/>
      <c r="E508" s="108"/>
      <c r="F508" s="108"/>
      <c r="G508" s="108"/>
    </row>
    <row r="509" spans="1:7">
      <c r="A509" s="27"/>
      <c r="B509" s="108"/>
      <c r="C509" s="108"/>
      <c r="D509" s="108"/>
      <c r="E509" s="108"/>
      <c r="F509" s="108"/>
      <c r="G509" s="108"/>
    </row>
    <row r="510" spans="1:7">
      <c r="A510" s="27"/>
      <c r="B510" s="108"/>
      <c r="C510" s="108"/>
      <c r="D510" s="108"/>
      <c r="E510" s="108"/>
      <c r="F510" s="108"/>
      <c r="G510" s="108"/>
    </row>
    <row r="511" spans="1:7">
      <c r="A511" s="27"/>
      <c r="B511" s="108"/>
      <c r="C511" s="108"/>
      <c r="D511" s="108"/>
      <c r="E511" s="108"/>
      <c r="F511" s="108"/>
      <c r="G511" s="108"/>
    </row>
    <row r="512" spans="1:7">
      <c r="A512" s="27"/>
      <c r="B512" s="108"/>
      <c r="C512" s="108"/>
      <c r="D512" s="108"/>
      <c r="E512" s="108"/>
      <c r="F512" s="108"/>
      <c r="G512" s="108"/>
    </row>
    <row r="513" spans="1:7">
      <c r="A513" s="27"/>
      <c r="B513" s="108"/>
      <c r="C513" s="108"/>
      <c r="D513" s="108"/>
      <c r="E513" s="108"/>
      <c r="F513" s="108"/>
      <c r="G513" s="108"/>
    </row>
    <row r="514" spans="1:7">
      <c r="A514" s="27"/>
      <c r="B514" s="108"/>
      <c r="C514" s="108"/>
      <c r="D514" s="108"/>
      <c r="E514" s="108"/>
      <c r="F514" s="108"/>
      <c r="G514" s="108"/>
    </row>
    <row r="515" spans="1:7">
      <c r="A515" s="27"/>
      <c r="B515" s="108"/>
      <c r="C515" s="108"/>
      <c r="D515" s="108"/>
      <c r="E515" s="108"/>
      <c r="F515" s="108"/>
      <c r="G515" s="108"/>
    </row>
    <row r="516" spans="1:7">
      <c r="A516" s="27"/>
      <c r="B516" s="108"/>
      <c r="C516" s="108"/>
      <c r="D516" s="108"/>
      <c r="E516" s="108"/>
      <c r="F516" s="108"/>
      <c r="G516" s="108"/>
    </row>
    <row r="517" spans="1:7">
      <c r="A517" s="27"/>
      <c r="B517" s="108"/>
      <c r="C517" s="108"/>
      <c r="D517" s="108"/>
      <c r="E517" s="108"/>
      <c r="F517" s="108"/>
      <c r="G517" s="108"/>
    </row>
    <row r="518" spans="1:7">
      <c r="A518" s="27"/>
      <c r="B518" s="108"/>
      <c r="C518" s="108"/>
      <c r="D518" s="108"/>
      <c r="E518" s="108"/>
      <c r="F518" s="108"/>
      <c r="G518" s="108"/>
    </row>
    <row r="519" spans="1:7">
      <c r="A519" s="27"/>
      <c r="B519" s="108"/>
      <c r="C519" s="108"/>
      <c r="D519" s="108"/>
      <c r="E519" s="108"/>
      <c r="F519" s="108"/>
      <c r="G519" s="108"/>
    </row>
    <row r="520" spans="1:7">
      <c r="A520" s="27"/>
      <c r="B520" s="108"/>
      <c r="C520" s="108"/>
      <c r="D520" s="108"/>
      <c r="E520" s="108"/>
      <c r="F520" s="108"/>
      <c r="G520" s="108"/>
    </row>
    <row r="521" spans="1:7">
      <c r="A521" s="27"/>
      <c r="B521" s="108"/>
      <c r="C521" s="108"/>
      <c r="D521" s="108"/>
      <c r="E521" s="108"/>
      <c r="F521" s="108"/>
      <c r="G521" s="108"/>
    </row>
    <row r="522" spans="1:7">
      <c r="A522" s="27"/>
      <c r="B522" s="108"/>
      <c r="C522" s="108"/>
      <c r="D522" s="108"/>
      <c r="E522" s="108"/>
      <c r="F522" s="108"/>
      <c r="G522" s="108"/>
    </row>
    <row r="523" spans="1:7">
      <c r="A523" s="27"/>
      <c r="B523" s="108"/>
      <c r="C523" s="108"/>
      <c r="D523" s="108"/>
      <c r="E523" s="108"/>
      <c r="F523" s="108"/>
      <c r="G523" s="108"/>
    </row>
    <row r="524" spans="1:7">
      <c r="A524" s="27"/>
      <c r="B524" s="108"/>
      <c r="C524" s="108"/>
      <c r="D524" s="108"/>
      <c r="E524" s="108"/>
      <c r="F524" s="108"/>
      <c r="G524" s="108"/>
    </row>
    <row r="525" spans="1:7">
      <c r="A525" s="27"/>
      <c r="B525" s="108"/>
      <c r="C525" s="108"/>
      <c r="D525" s="108"/>
      <c r="E525" s="108"/>
      <c r="F525" s="108"/>
      <c r="G525" s="108"/>
    </row>
    <row r="526" spans="1:7">
      <c r="A526" s="27"/>
      <c r="B526" s="108"/>
      <c r="C526" s="108"/>
      <c r="D526" s="108"/>
      <c r="E526" s="108"/>
      <c r="F526" s="108"/>
      <c r="G526" s="108"/>
    </row>
    <row r="527" spans="1:7">
      <c r="A527" s="27"/>
      <c r="B527" s="108"/>
      <c r="C527" s="108"/>
      <c r="D527" s="108"/>
      <c r="E527" s="108"/>
      <c r="F527" s="108"/>
      <c r="G527" s="108"/>
    </row>
    <row r="528" spans="1:7">
      <c r="A528" s="27"/>
      <c r="B528" s="108"/>
      <c r="C528" s="108"/>
      <c r="D528" s="108"/>
      <c r="E528" s="108"/>
      <c r="F528" s="108"/>
      <c r="G528" s="108"/>
    </row>
    <row r="529" spans="1:7">
      <c r="A529" s="27"/>
      <c r="B529" s="108"/>
      <c r="C529" s="108"/>
      <c r="D529" s="108"/>
      <c r="E529" s="108"/>
      <c r="F529" s="108"/>
      <c r="G529" s="108"/>
    </row>
    <row r="530" spans="1:7">
      <c r="A530" s="27"/>
      <c r="B530" s="108"/>
      <c r="C530" s="108"/>
      <c r="D530" s="108"/>
      <c r="E530" s="108"/>
      <c r="F530" s="108"/>
      <c r="G530" s="108"/>
    </row>
    <row r="531" spans="1:7">
      <c r="A531" s="27"/>
      <c r="B531" s="108"/>
      <c r="C531" s="108"/>
      <c r="D531" s="108"/>
      <c r="E531" s="108"/>
      <c r="F531" s="108"/>
      <c r="G531" s="108"/>
    </row>
    <row r="532" spans="1:7">
      <c r="A532" s="27"/>
      <c r="B532" s="108"/>
      <c r="C532" s="108"/>
      <c r="D532" s="108"/>
      <c r="E532" s="108"/>
      <c r="F532" s="108"/>
      <c r="G532" s="108"/>
    </row>
    <row r="533" spans="1:7">
      <c r="A533" s="27"/>
      <c r="B533" s="108"/>
      <c r="C533" s="108"/>
      <c r="D533" s="108"/>
      <c r="E533" s="108"/>
      <c r="F533" s="108"/>
      <c r="G533" s="108"/>
    </row>
    <row r="534" spans="1:7">
      <c r="A534" s="27"/>
      <c r="B534" s="108"/>
      <c r="C534" s="108"/>
      <c r="D534" s="108"/>
      <c r="E534" s="108"/>
      <c r="F534" s="108"/>
      <c r="G534" s="108"/>
    </row>
    <row r="535" spans="1:7">
      <c r="A535" s="27"/>
      <c r="B535" s="108"/>
      <c r="C535" s="108"/>
      <c r="D535" s="108"/>
      <c r="E535" s="108"/>
      <c r="F535" s="108"/>
      <c r="G535" s="108"/>
    </row>
    <row r="536" spans="1:7">
      <c r="A536" s="27"/>
      <c r="B536" s="108"/>
      <c r="C536" s="108"/>
      <c r="D536" s="108"/>
      <c r="E536" s="108"/>
      <c r="F536" s="108"/>
      <c r="G536" s="108"/>
    </row>
    <row r="537" spans="1:7">
      <c r="A537" s="27"/>
      <c r="B537" s="108"/>
      <c r="C537" s="108"/>
      <c r="D537" s="108"/>
      <c r="E537" s="108"/>
      <c r="F537" s="108"/>
      <c r="G537" s="108"/>
    </row>
    <row r="538" spans="1:7">
      <c r="A538" s="27"/>
      <c r="B538" s="108"/>
      <c r="C538" s="108"/>
      <c r="D538" s="108"/>
      <c r="E538" s="108"/>
      <c r="F538" s="108"/>
      <c r="G538" s="108"/>
    </row>
    <row r="539" spans="1:7">
      <c r="A539" s="27"/>
      <c r="B539" s="108"/>
      <c r="C539" s="108"/>
      <c r="D539" s="108"/>
      <c r="E539" s="108"/>
      <c r="F539" s="108"/>
      <c r="G539" s="108"/>
    </row>
    <row r="540" spans="1:7">
      <c r="A540" s="27"/>
      <c r="B540" s="108"/>
      <c r="C540" s="108"/>
      <c r="D540" s="108"/>
      <c r="E540" s="108"/>
      <c r="F540" s="108"/>
      <c r="G540" s="108"/>
    </row>
    <row r="541" spans="1:7">
      <c r="A541" s="27"/>
      <c r="B541" s="108"/>
      <c r="C541" s="108"/>
      <c r="D541" s="108"/>
      <c r="E541" s="108"/>
      <c r="F541" s="108"/>
      <c r="G541" s="108"/>
    </row>
    <row r="542" spans="1:7">
      <c r="A542" s="27"/>
      <c r="B542" s="108"/>
      <c r="C542" s="108"/>
      <c r="D542" s="108"/>
      <c r="E542" s="108"/>
      <c r="F542" s="108"/>
      <c r="G542" s="108"/>
    </row>
    <row r="543" spans="1:7">
      <c r="A543" s="27"/>
      <c r="B543" s="108"/>
      <c r="C543" s="108"/>
      <c r="D543" s="108"/>
      <c r="E543" s="108"/>
      <c r="F543" s="108"/>
      <c r="G543" s="108"/>
    </row>
    <row r="544" spans="1:7">
      <c r="A544" s="27"/>
      <c r="B544" s="108"/>
      <c r="C544" s="108"/>
      <c r="D544" s="108"/>
      <c r="E544" s="108"/>
      <c r="F544" s="108"/>
      <c r="G544" s="108"/>
    </row>
    <row r="545" spans="1:7">
      <c r="A545" s="27"/>
      <c r="B545" s="108"/>
      <c r="C545" s="108"/>
      <c r="D545" s="108"/>
      <c r="E545" s="108"/>
      <c r="F545" s="108"/>
      <c r="G545" s="108"/>
    </row>
    <row r="546" spans="1:7">
      <c r="A546" s="27"/>
      <c r="B546" s="108"/>
      <c r="C546" s="108"/>
      <c r="D546" s="108"/>
      <c r="E546" s="108"/>
      <c r="F546" s="108"/>
      <c r="G546" s="108"/>
    </row>
    <row r="547" spans="1:7">
      <c r="A547" s="27"/>
      <c r="B547" s="108"/>
      <c r="C547" s="108"/>
      <c r="D547" s="108"/>
      <c r="E547" s="108"/>
      <c r="F547" s="108"/>
      <c r="G547" s="108"/>
    </row>
    <row r="548" spans="1:7">
      <c r="A548" s="27"/>
      <c r="B548" s="108"/>
      <c r="C548" s="108"/>
      <c r="D548" s="108"/>
      <c r="E548" s="108"/>
      <c r="F548" s="108"/>
      <c r="G548" s="108"/>
    </row>
    <row r="549" spans="1:7">
      <c r="A549" s="27"/>
      <c r="B549" s="108"/>
      <c r="C549" s="108"/>
      <c r="D549" s="108"/>
      <c r="E549" s="108"/>
      <c r="F549" s="108"/>
      <c r="G549" s="108"/>
    </row>
    <row r="550" spans="1:7">
      <c r="A550" s="27"/>
      <c r="B550" s="108"/>
      <c r="C550" s="108"/>
      <c r="D550" s="108"/>
      <c r="E550" s="108"/>
      <c r="F550" s="108"/>
      <c r="G550" s="108"/>
    </row>
    <row r="551" spans="1:7">
      <c r="A551" s="27"/>
      <c r="B551" s="108"/>
      <c r="C551" s="108"/>
      <c r="D551" s="108"/>
      <c r="E551" s="108"/>
      <c r="F551" s="108"/>
      <c r="G551" s="108"/>
    </row>
    <row r="552" spans="1:7">
      <c r="A552" s="27"/>
      <c r="B552" s="108"/>
      <c r="C552" s="108"/>
      <c r="D552" s="108"/>
      <c r="E552" s="108"/>
      <c r="F552" s="108"/>
      <c r="G552" s="108"/>
    </row>
    <row r="553" spans="1:7">
      <c r="A553" s="27"/>
      <c r="B553" s="108"/>
      <c r="C553" s="108"/>
      <c r="D553" s="108"/>
      <c r="E553" s="108"/>
      <c r="F553" s="108"/>
      <c r="G553" s="108"/>
    </row>
    <row r="554" spans="1:7">
      <c r="A554" s="27"/>
      <c r="B554" s="108"/>
      <c r="C554" s="108"/>
      <c r="D554" s="108"/>
      <c r="E554" s="108"/>
      <c r="F554" s="108"/>
      <c r="G554" s="108"/>
    </row>
    <row r="555" spans="1:7">
      <c r="A555" s="27"/>
      <c r="B555" s="108"/>
      <c r="C555" s="108"/>
      <c r="D555" s="108"/>
      <c r="E555" s="108"/>
      <c r="F555" s="108"/>
      <c r="G555" s="108"/>
    </row>
    <row r="556" spans="1:7">
      <c r="A556" s="27"/>
      <c r="B556" s="108"/>
      <c r="C556" s="108"/>
      <c r="D556" s="108"/>
      <c r="E556" s="108"/>
      <c r="F556" s="108"/>
      <c r="G556" s="108"/>
    </row>
    <row r="557" spans="1:7">
      <c r="A557" s="27"/>
      <c r="B557" s="108"/>
      <c r="C557" s="108"/>
      <c r="D557" s="108"/>
      <c r="E557" s="108"/>
      <c r="F557" s="108"/>
      <c r="G557" s="108"/>
    </row>
    <row r="558" spans="1:7">
      <c r="A558" s="27"/>
      <c r="B558" s="108"/>
      <c r="C558" s="108"/>
      <c r="D558" s="108"/>
      <c r="E558" s="108"/>
      <c r="F558" s="108"/>
      <c r="G558" s="108"/>
    </row>
    <row r="559" spans="1:7">
      <c r="A559" s="27"/>
      <c r="B559" s="108"/>
      <c r="C559" s="108"/>
      <c r="D559" s="108"/>
      <c r="E559" s="108"/>
      <c r="F559" s="108"/>
      <c r="G559" s="108"/>
    </row>
    <row r="560" spans="1:7">
      <c r="A560" s="27"/>
      <c r="B560" s="108"/>
      <c r="C560" s="108"/>
      <c r="D560" s="108"/>
      <c r="E560" s="108"/>
      <c r="F560" s="108"/>
      <c r="G560" s="108"/>
    </row>
    <row r="561" spans="1:7">
      <c r="A561" s="27"/>
      <c r="B561" s="108"/>
      <c r="C561" s="108"/>
      <c r="D561" s="108"/>
      <c r="E561" s="108"/>
      <c r="F561" s="108"/>
      <c r="G561" s="108"/>
    </row>
    <row r="562" spans="1:7">
      <c r="A562" s="27"/>
      <c r="B562" s="108"/>
      <c r="C562" s="108"/>
      <c r="D562" s="108"/>
      <c r="E562" s="108"/>
      <c r="F562" s="108"/>
      <c r="G562" s="108"/>
    </row>
    <row r="563" spans="1:7">
      <c r="A563" s="27"/>
      <c r="B563" s="108"/>
      <c r="C563" s="108"/>
      <c r="D563" s="108"/>
      <c r="E563" s="108"/>
      <c r="F563" s="108"/>
      <c r="G563" s="108"/>
    </row>
    <row r="564" spans="1:7">
      <c r="A564" s="27"/>
      <c r="B564" s="108"/>
      <c r="C564" s="108"/>
      <c r="D564" s="108"/>
      <c r="E564" s="108"/>
      <c r="F564" s="108"/>
      <c r="G564" s="108"/>
    </row>
    <row r="565" spans="1:7">
      <c r="A565" s="27"/>
      <c r="B565" s="108"/>
      <c r="C565" s="108"/>
      <c r="D565" s="108"/>
      <c r="E565" s="108"/>
      <c r="F565" s="108"/>
      <c r="G565" s="108"/>
    </row>
    <row r="566" spans="1:7">
      <c r="A566" s="27"/>
      <c r="B566" s="108"/>
      <c r="C566" s="108"/>
      <c r="D566" s="108"/>
      <c r="E566" s="108"/>
      <c r="F566" s="108"/>
      <c r="G566" s="108"/>
    </row>
    <row r="567" spans="1:7">
      <c r="A567" s="27"/>
      <c r="B567" s="108"/>
      <c r="C567" s="108"/>
      <c r="D567" s="108"/>
      <c r="E567" s="108"/>
      <c r="F567" s="108"/>
      <c r="G567" s="108"/>
    </row>
    <row r="568" spans="1:7">
      <c r="A568" s="27"/>
      <c r="B568" s="108"/>
      <c r="C568" s="108"/>
      <c r="D568" s="108"/>
      <c r="E568" s="108"/>
      <c r="F568" s="108"/>
      <c r="G568" s="108"/>
    </row>
    <row r="569" spans="1:7">
      <c r="A569" s="27"/>
      <c r="B569" s="108"/>
      <c r="C569" s="108"/>
      <c r="D569" s="108"/>
      <c r="E569" s="108"/>
      <c r="F569" s="108"/>
      <c r="G569" s="108"/>
    </row>
    <row r="570" spans="1:7">
      <c r="A570" s="27"/>
      <c r="B570" s="108"/>
      <c r="C570" s="108"/>
      <c r="D570" s="108"/>
      <c r="E570" s="108"/>
      <c r="F570" s="108"/>
      <c r="G570" s="108"/>
    </row>
    <row r="571" spans="1:7">
      <c r="A571" s="27"/>
      <c r="B571" s="108"/>
      <c r="C571" s="108"/>
      <c r="D571" s="108"/>
      <c r="E571" s="108"/>
      <c r="F571" s="108"/>
      <c r="G571" s="108"/>
    </row>
    <row r="572" spans="1:7">
      <c r="A572" s="27"/>
      <c r="B572" s="108"/>
      <c r="C572" s="108"/>
      <c r="D572" s="108"/>
      <c r="E572" s="108"/>
      <c r="F572" s="108"/>
      <c r="G572" s="108"/>
    </row>
    <row r="573" spans="1:7">
      <c r="A573" s="27"/>
      <c r="B573" s="108"/>
      <c r="C573" s="108"/>
      <c r="D573" s="108"/>
      <c r="E573" s="108"/>
      <c r="F573" s="108"/>
      <c r="G573" s="108"/>
    </row>
    <row r="574" spans="1:7">
      <c r="A574" s="27"/>
      <c r="B574" s="108"/>
      <c r="C574" s="108"/>
      <c r="D574" s="108"/>
      <c r="E574" s="108"/>
      <c r="F574" s="108"/>
      <c r="G574" s="108"/>
    </row>
    <row r="575" spans="1:7">
      <c r="A575" s="27"/>
      <c r="B575" s="108"/>
      <c r="C575" s="108"/>
      <c r="D575" s="108"/>
      <c r="E575" s="108"/>
      <c r="F575" s="108"/>
      <c r="G575" s="108"/>
    </row>
    <row r="576" spans="1:7">
      <c r="A576" s="27"/>
      <c r="B576" s="108"/>
      <c r="C576" s="108"/>
      <c r="D576" s="108"/>
      <c r="E576" s="108"/>
      <c r="F576" s="108"/>
      <c r="G576" s="108"/>
    </row>
    <row r="577" spans="1:7">
      <c r="A577" s="27"/>
      <c r="B577" s="108"/>
      <c r="C577" s="108"/>
      <c r="D577" s="108"/>
      <c r="E577" s="108"/>
      <c r="F577" s="108"/>
      <c r="G577" s="108"/>
    </row>
    <row r="578" spans="1:7">
      <c r="A578" s="27"/>
      <c r="B578" s="108"/>
      <c r="C578" s="108"/>
      <c r="D578" s="108"/>
      <c r="E578" s="108"/>
      <c r="F578" s="108"/>
      <c r="G578" s="108"/>
    </row>
    <row r="579" spans="1:7">
      <c r="A579" s="27"/>
      <c r="B579" s="108"/>
      <c r="C579" s="108"/>
      <c r="D579" s="108"/>
      <c r="E579" s="108"/>
      <c r="F579" s="108"/>
      <c r="G579" s="108"/>
    </row>
    <row r="580" spans="1:7">
      <c r="A580" s="27"/>
      <c r="B580" s="108"/>
      <c r="C580" s="108"/>
      <c r="D580" s="108"/>
      <c r="E580" s="108"/>
      <c r="F580" s="108"/>
      <c r="G580" s="108"/>
    </row>
    <row r="581" spans="1:7">
      <c r="A581" s="27"/>
      <c r="B581" s="108"/>
      <c r="C581" s="108"/>
      <c r="D581" s="108"/>
      <c r="E581" s="108"/>
      <c r="F581" s="108"/>
      <c r="G581" s="108"/>
    </row>
    <row r="582" spans="1:7">
      <c r="A582" s="27"/>
      <c r="B582" s="108"/>
      <c r="C582" s="108"/>
      <c r="D582" s="108"/>
      <c r="E582" s="108"/>
      <c r="F582" s="108"/>
      <c r="G582" s="108"/>
    </row>
    <row r="583" spans="1:7">
      <c r="A583" s="27"/>
      <c r="B583" s="108"/>
      <c r="C583" s="108"/>
      <c r="D583" s="108"/>
      <c r="E583" s="108"/>
      <c r="F583" s="108"/>
      <c r="G583" s="108"/>
    </row>
    <row r="584" spans="1:7">
      <c r="A584" s="27"/>
      <c r="B584" s="108"/>
      <c r="C584" s="108"/>
      <c r="D584" s="108"/>
      <c r="E584" s="108"/>
      <c r="F584" s="108"/>
      <c r="G584" s="108"/>
    </row>
    <row r="585" spans="1:7">
      <c r="A585" s="27"/>
      <c r="B585" s="108"/>
      <c r="C585" s="108"/>
      <c r="D585" s="108"/>
      <c r="E585" s="108"/>
      <c r="F585" s="108"/>
      <c r="G585" s="108"/>
    </row>
    <row r="586" spans="1:7">
      <c r="A586" s="27"/>
      <c r="B586" s="108"/>
      <c r="C586" s="108"/>
      <c r="D586" s="108"/>
      <c r="E586" s="108"/>
      <c r="F586" s="108"/>
      <c r="G586" s="108"/>
    </row>
    <row r="587" spans="1:7">
      <c r="A587" s="27"/>
      <c r="B587" s="108"/>
      <c r="C587" s="108"/>
      <c r="D587" s="108"/>
      <c r="E587" s="108"/>
      <c r="F587" s="108"/>
      <c r="G587" s="108"/>
    </row>
    <row r="588" spans="1:7">
      <c r="A588" s="27"/>
      <c r="B588" s="108"/>
      <c r="C588" s="108"/>
      <c r="D588" s="108"/>
      <c r="E588" s="108"/>
      <c r="F588" s="108"/>
      <c r="G588" s="108"/>
    </row>
    <row r="589" spans="1:7">
      <c r="A589" s="27"/>
      <c r="B589" s="108"/>
      <c r="C589" s="108"/>
      <c r="D589" s="108"/>
      <c r="E589" s="108"/>
      <c r="F589" s="108"/>
      <c r="G589" s="108"/>
    </row>
    <row r="590" spans="1:7">
      <c r="A590" s="27"/>
      <c r="B590" s="108"/>
      <c r="C590" s="108"/>
      <c r="D590" s="108"/>
      <c r="E590" s="108"/>
      <c r="F590" s="108"/>
      <c r="G590" s="108"/>
    </row>
    <row r="591" spans="1:7">
      <c r="A591" s="27"/>
      <c r="B591" s="108"/>
      <c r="C591" s="108"/>
      <c r="D591" s="108"/>
      <c r="E591" s="108"/>
      <c r="F591" s="108"/>
      <c r="G591" s="108"/>
    </row>
    <row r="592" spans="1:7">
      <c r="A592" s="27"/>
      <c r="B592" s="108"/>
      <c r="C592" s="108"/>
      <c r="D592" s="108"/>
      <c r="E592" s="108"/>
      <c r="F592" s="108"/>
      <c r="G592" s="108"/>
    </row>
    <row r="593" spans="1:7">
      <c r="A593" s="27"/>
      <c r="B593" s="108"/>
      <c r="C593" s="108"/>
      <c r="D593" s="108"/>
      <c r="E593" s="108"/>
      <c r="F593" s="108"/>
      <c r="G593" s="108"/>
    </row>
    <row r="594" spans="1:7">
      <c r="A594" s="27"/>
      <c r="B594" s="108"/>
      <c r="C594" s="108"/>
      <c r="D594" s="108"/>
      <c r="E594" s="108"/>
      <c r="F594" s="108"/>
      <c r="G594" s="108"/>
    </row>
    <row r="595" spans="1:7">
      <c r="A595" s="27"/>
      <c r="B595" s="108"/>
      <c r="C595" s="108"/>
      <c r="D595" s="108"/>
      <c r="E595" s="108"/>
      <c r="F595" s="108"/>
      <c r="G595" s="108"/>
    </row>
    <row r="596" spans="1:7">
      <c r="A596" s="27"/>
      <c r="B596" s="108"/>
      <c r="C596" s="108"/>
      <c r="D596" s="108"/>
      <c r="E596" s="108"/>
      <c r="F596" s="108"/>
      <c r="G596" s="108"/>
    </row>
    <row r="597" spans="1:7">
      <c r="A597" s="27"/>
      <c r="B597" s="108"/>
      <c r="C597" s="108"/>
      <c r="D597" s="108"/>
      <c r="E597" s="108"/>
      <c r="F597" s="108"/>
      <c r="G597" s="108"/>
    </row>
    <row r="598" spans="1:7">
      <c r="A598" s="27"/>
      <c r="B598" s="108"/>
      <c r="C598" s="108"/>
      <c r="D598" s="108"/>
      <c r="E598" s="108"/>
      <c r="F598" s="108"/>
      <c r="G598" s="108"/>
    </row>
    <row r="599" spans="1:7">
      <c r="A599" s="27"/>
      <c r="B599" s="108"/>
      <c r="C599" s="108"/>
      <c r="D599" s="108"/>
      <c r="E599" s="108"/>
      <c r="F599" s="108"/>
      <c r="G599" s="108"/>
    </row>
    <row r="600" spans="1:7">
      <c r="A600" s="27"/>
      <c r="B600" s="108"/>
      <c r="C600" s="108"/>
      <c r="D600" s="108"/>
      <c r="E600" s="108"/>
      <c r="F600" s="108"/>
      <c r="G600" s="108"/>
    </row>
    <row r="601" spans="1:7">
      <c r="A601" s="27"/>
      <c r="B601" s="108"/>
      <c r="C601" s="108"/>
      <c r="D601" s="108"/>
      <c r="E601" s="108"/>
      <c r="F601" s="108"/>
      <c r="G601" s="108"/>
    </row>
    <row r="602" spans="1:7">
      <c r="A602" s="27"/>
      <c r="B602" s="108"/>
      <c r="C602" s="108"/>
      <c r="D602" s="108"/>
      <c r="E602" s="108"/>
      <c r="F602" s="108"/>
      <c r="G602" s="108"/>
    </row>
    <row r="603" spans="1:7">
      <c r="A603" s="27"/>
      <c r="B603" s="108"/>
      <c r="C603" s="108"/>
      <c r="D603" s="108"/>
      <c r="E603" s="108"/>
      <c r="F603" s="108"/>
      <c r="G603" s="108"/>
    </row>
    <row r="604" spans="1:7">
      <c r="A604" s="27"/>
      <c r="B604" s="108"/>
      <c r="C604" s="108"/>
      <c r="D604" s="108"/>
      <c r="E604" s="108"/>
      <c r="F604" s="108"/>
      <c r="G604" s="108"/>
    </row>
    <row r="605" spans="1:7">
      <c r="A605" s="27"/>
      <c r="B605" s="108"/>
      <c r="C605" s="108"/>
      <c r="D605" s="108"/>
      <c r="E605" s="108"/>
      <c r="F605" s="108"/>
      <c r="G605" s="108"/>
    </row>
    <row r="606" spans="1:7">
      <c r="A606" s="27"/>
      <c r="B606" s="108"/>
      <c r="C606" s="108"/>
      <c r="D606" s="108"/>
      <c r="E606" s="108"/>
      <c r="F606" s="108"/>
      <c r="G606" s="108"/>
    </row>
    <row r="607" spans="1:7">
      <c r="A607" s="27"/>
      <c r="B607" s="108"/>
      <c r="C607" s="108"/>
      <c r="D607" s="108"/>
      <c r="E607" s="108"/>
      <c r="F607" s="108"/>
      <c r="G607" s="108"/>
    </row>
    <row r="608" spans="1:7">
      <c r="A608" s="27"/>
      <c r="B608" s="108"/>
      <c r="C608" s="108"/>
      <c r="D608" s="108"/>
      <c r="E608" s="108"/>
      <c r="F608" s="108"/>
      <c r="G608" s="108"/>
    </row>
    <row r="609" spans="1:7">
      <c r="A609" s="27"/>
      <c r="B609" s="108"/>
      <c r="C609" s="108"/>
      <c r="D609" s="108"/>
      <c r="E609" s="108"/>
      <c r="F609" s="108"/>
      <c r="G609" s="108"/>
    </row>
    <row r="610" spans="1:7">
      <c r="A610" s="27"/>
      <c r="B610" s="108"/>
      <c r="C610" s="108"/>
      <c r="D610" s="108"/>
      <c r="E610" s="108"/>
      <c r="F610" s="108"/>
      <c r="G610" s="108"/>
    </row>
    <row r="611" spans="1:7">
      <c r="A611" s="27"/>
      <c r="B611" s="108"/>
      <c r="C611" s="108"/>
      <c r="D611" s="108"/>
      <c r="E611" s="108"/>
      <c r="F611" s="108"/>
      <c r="G611" s="108"/>
    </row>
    <row r="612" spans="1:7">
      <c r="A612" s="27"/>
      <c r="B612" s="108"/>
      <c r="C612" s="108"/>
      <c r="D612" s="108"/>
      <c r="E612" s="108"/>
      <c r="F612" s="108"/>
      <c r="G612" s="108"/>
    </row>
    <row r="613" spans="1:7">
      <c r="A613" s="27"/>
      <c r="B613" s="108"/>
      <c r="C613" s="108"/>
      <c r="D613" s="108"/>
      <c r="E613" s="108"/>
      <c r="F613" s="108"/>
      <c r="G613" s="108"/>
    </row>
    <row r="614" spans="1:7">
      <c r="A614" s="27"/>
      <c r="B614" s="108"/>
      <c r="C614" s="108"/>
      <c r="D614" s="108"/>
      <c r="E614" s="108"/>
      <c r="F614" s="108"/>
      <c r="G614" s="108"/>
    </row>
    <row r="615" spans="1:7">
      <c r="A615" s="27"/>
      <c r="B615" s="108"/>
      <c r="C615" s="108"/>
      <c r="D615" s="108"/>
      <c r="E615" s="108"/>
      <c r="F615" s="108"/>
      <c r="G615" s="108"/>
    </row>
    <row r="616" spans="1:7">
      <c r="A616" s="27"/>
      <c r="B616" s="108"/>
      <c r="C616" s="108"/>
      <c r="D616" s="108"/>
      <c r="E616" s="108"/>
      <c r="F616" s="108"/>
      <c r="G616" s="108"/>
    </row>
    <row r="617" spans="1:7">
      <c r="A617" s="27"/>
      <c r="B617" s="108"/>
      <c r="C617" s="108"/>
      <c r="D617" s="108"/>
      <c r="E617" s="108"/>
      <c r="F617" s="108"/>
      <c r="G617" s="108"/>
    </row>
    <row r="618" spans="1:7">
      <c r="A618" s="27"/>
      <c r="B618" s="108"/>
      <c r="C618" s="108"/>
      <c r="D618" s="108"/>
      <c r="E618" s="108"/>
      <c r="F618" s="108"/>
      <c r="G618" s="108"/>
    </row>
    <row r="619" spans="1:7">
      <c r="A619" s="27"/>
      <c r="B619" s="108"/>
      <c r="C619" s="108"/>
      <c r="D619" s="108"/>
      <c r="E619" s="108"/>
      <c r="F619" s="108"/>
      <c r="G619" s="108"/>
    </row>
    <row r="620" spans="1:7">
      <c r="A620" s="27"/>
      <c r="B620" s="108"/>
      <c r="C620" s="108"/>
      <c r="D620" s="108"/>
      <c r="E620" s="108"/>
      <c r="F620" s="108"/>
      <c r="G620" s="108"/>
    </row>
    <row r="621" spans="1:7">
      <c r="A621" s="27"/>
      <c r="B621" s="108"/>
      <c r="C621" s="108"/>
      <c r="D621" s="108"/>
      <c r="E621" s="108"/>
      <c r="F621" s="108"/>
      <c r="G621" s="108"/>
    </row>
    <row r="622" spans="1:7">
      <c r="A622" s="27"/>
      <c r="B622" s="108"/>
      <c r="C622" s="108"/>
      <c r="D622" s="108"/>
      <c r="E622" s="108"/>
      <c r="F622" s="108"/>
      <c r="G622" s="108"/>
    </row>
    <row r="623" spans="1:7">
      <c r="A623" s="27"/>
      <c r="B623" s="108"/>
      <c r="C623" s="108"/>
      <c r="D623" s="108"/>
      <c r="E623" s="108"/>
      <c r="F623" s="108"/>
      <c r="G623" s="108"/>
    </row>
    <row r="624" spans="1:7">
      <c r="A624" s="27"/>
      <c r="B624" s="108"/>
      <c r="C624" s="108"/>
      <c r="D624" s="108"/>
      <c r="E624" s="108"/>
      <c r="F624" s="108"/>
      <c r="G624" s="108"/>
    </row>
    <row r="625" spans="1:7">
      <c r="A625" s="27"/>
      <c r="B625" s="108"/>
      <c r="C625" s="108"/>
      <c r="D625" s="108"/>
      <c r="E625" s="108"/>
      <c r="F625" s="108"/>
      <c r="G625" s="108"/>
    </row>
    <row r="626" spans="1:7">
      <c r="A626" s="27"/>
      <c r="B626" s="108"/>
      <c r="C626" s="108"/>
      <c r="D626" s="108"/>
      <c r="E626" s="108"/>
      <c r="F626" s="108"/>
      <c r="G626" s="108"/>
    </row>
    <row r="627" spans="1:7">
      <c r="A627" s="27"/>
      <c r="B627" s="108"/>
      <c r="C627" s="108"/>
      <c r="D627" s="108"/>
      <c r="E627" s="108"/>
      <c r="F627" s="108"/>
      <c r="G627" s="108"/>
    </row>
    <row r="628" spans="1:7">
      <c r="A628" s="27"/>
      <c r="B628" s="108"/>
      <c r="C628" s="108"/>
      <c r="D628" s="108"/>
      <c r="E628" s="108"/>
      <c r="F628" s="108"/>
      <c r="G628" s="108"/>
    </row>
    <row r="629" spans="1:7">
      <c r="A629" s="27"/>
      <c r="B629" s="108"/>
      <c r="C629" s="108"/>
      <c r="D629" s="108"/>
      <c r="E629" s="108"/>
      <c r="F629" s="108"/>
      <c r="G629" s="108"/>
    </row>
    <row r="630" spans="1:7">
      <c r="A630" s="27"/>
      <c r="B630" s="108"/>
      <c r="C630" s="108"/>
      <c r="D630" s="108"/>
      <c r="E630" s="108"/>
      <c r="F630" s="108"/>
      <c r="G630" s="108"/>
    </row>
    <row r="631" spans="1:7">
      <c r="A631" s="27"/>
      <c r="B631" s="108"/>
      <c r="C631" s="108"/>
      <c r="D631" s="108"/>
      <c r="E631" s="108"/>
      <c r="F631" s="108"/>
      <c r="G631" s="108"/>
    </row>
    <row r="632" spans="1:7">
      <c r="A632" s="27"/>
      <c r="B632" s="108"/>
      <c r="C632" s="108"/>
      <c r="D632" s="108"/>
      <c r="E632" s="108"/>
      <c r="F632" s="108"/>
      <c r="G632" s="108"/>
    </row>
    <row r="633" spans="1:7">
      <c r="A633" s="27"/>
      <c r="B633" s="108"/>
      <c r="C633" s="108"/>
      <c r="D633" s="108"/>
      <c r="E633" s="108"/>
      <c r="F633" s="108"/>
      <c r="G633" s="108"/>
    </row>
    <row r="634" spans="1:7">
      <c r="A634" s="27"/>
      <c r="B634" s="108"/>
      <c r="C634" s="108"/>
      <c r="D634" s="108"/>
      <c r="E634" s="108"/>
      <c r="F634" s="108"/>
      <c r="G634" s="108"/>
    </row>
    <row r="635" spans="1:7">
      <c r="A635" s="27"/>
      <c r="B635" s="108"/>
      <c r="C635" s="108"/>
      <c r="D635" s="108"/>
      <c r="E635" s="108"/>
      <c r="F635" s="108"/>
      <c r="G635" s="108"/>
    </row>
    <row r="636" spans="1:7">
      <c r="A636" s="27"/>
      <c r="B636" s="108"/>
      <c r="C636" s="108"/>
      <c r="D636" s="108"/>
      <c r="E636" s="108"/>
      <c r="F636" s="108"/>
      <c r="G636" s="108"/>
    </row>
    <row r="637" spans="1:7">
      <c r="A637" s="27"/>
      <c r="B637" s="108"/>
      <c r="C637" s="108"/>
      <c r="D637" s="108"/>
      <c r="E637" s="108"/>
      <c r="F637" s="108"/>
      <c r="G637" s="108"/>
    </row>
    <row r="638" spans="1:7">
      <c r="A638" s="27"/>
      <c r="B638" s="108"/>
      <c r="C638" s="108"/>
      <c r="D638" s="108"/>
      <c r="E638" s="108"/>
      <c r="F638" s="108"/>
      <c r="G638" s="108"/>
    </row>
    <row r="639" spans="1:7">
      <c r="A639" s="27"/>
      <c r="B639" s="108"/>
      <c r="C639" s="108"/>
      <c r="D639" s="108"/>
      <c r="E639" s="108"/>
      <c r="F639" s="108"/>
      <c r="G639" s="108"/>
    </row>
    <row r="640" spans="1:7">
      <c r="A640" s="27"/>
      <c r="B640" s="108"/>
      <c r="C640" s="108"/>
      <c r="D640" s="108"/>
      <c r="E640" s="108"/>
      <c r="F640" s="108"/>
      <c r="G640" s="108"/>
    </row>
    <row r="641" spans="1:7">
      <c r="A641" s="27"/>
      <c r="B641" s="108"/>
      <c r="C641" s="108"/>
      <c r="D641" s="108"/>
      <c r="E641" s="108"/>
      <c r="F641" s="108"/>
      <c r="G641" s="108"/>
    </row>
    <row r="642" spans="1:7">
      <c r="A642" s="27"/>
      <c r="B642" s="108"/>
      <c r="C642" s="108"/>
      <c r="D642" s="108"/>
      <c r="E642" s="108"/>
      <c r="F642" s="108"/>
      <c r="G642" s="108"/>
    </row>
    <row r="643" spans="1:7">
      <c r="A643" s="27"/>
      <c r="B643" s="108"/>
      <c r="C643" s="108"/>
      <c r="D643" s="108"/>
      <c r="E643" s="108"/>
      <c r="F643" s="108"/>
      <c r="G643" s="108"/>
    </row>
    <row r="644" spans="1:7">
      <c r="A644" s="27"/>
      <c r="B644" s="108"/>
      <c r="C644" s="108"/>
      <c r="D644" s="108"/>
      <c r="E644" s="108"/>
      <c r="F644" s="108"/>
      <c r="G644" s="108"/>
    </row>
    <row r="645" spans="1:7">
      <c r="A645" s="27"/>
      <c r="B645" s="108"/>
      <c r="C645" s="108"/>
      <c r="D645" s="108"/>
      <c r="E645" s="108"/>
      <c r="F645" s="108"/>
      <c r="G645" s="108"/>
    </row>
    <row r="646" spans="1:7">
      <c r="A646" s="27"/>
      <c r="B646" s="108"/>
      <c r="C646" s="108"/>
      <c r="D646" s="108"/>
      <c r="E646" s="108"/>
      <c r="F646" s="108"/>
      <c r="G646" s="108"/>
    </row>
    <row r="647" spans="1:7">
      <c r="A647" s="27"/>
      <c r="B647" s="108"/>
      <c r="C647" s="108"/>
      <c r="D647" s="108"/>
      <c r="E647" s="108"/>
      <c r="F647" s="108"/>
      <c r="G647" s="108"/>
    </row>
    <row r="648" spans="1:7">
      <c r="A648" s="27"/>
      <c r="B648" s="108"/>
      <c r="C648" s="108"/>
      <c r="D648" s="108"/>
      <c r="E648" s="108"/>
      <c r="F648" s="108"/>
      <c r="G648" s="108"/>
    </row>
    <row r="649" spans="1:7">
      <c r="A649" s="27"/>
      <c r="B649" s="108"/>
      <c r="C649" s="108"/>
      <c r="D649" s="108"/>
      <c r="E649" s="108"/>
      <c r="F649" s="108"/>
      <c r="G649" s="108"/>
    </row>
    <row r="650" spans="1:7">
      <c r="A650" s="27"/>
      <c r="B650" s="108"/>
      <c r="C650" s="108"/>
      <c r="D650" s="108"/>
      <c r="E650" s="108"/>
      <c r="F650" s="108"/>
      <c r="G650" s="108"/>
    </row>
    <row r="651" spans="1:7">
      <c r="A651" s="27"/>
      <c r="B651" s="108"/>
      <c r="C651" s="108"/>
      <c r="D651" s="108"/>
      <c r="E651" s="108"/>
      <c r="F651" s="108"/>
      <c r="G651" s="108"/>
    </row>
    <row r="652" spans="1:7">
      <c r="A652" s="27"/>
      <c r="B652" s="108"/>
      <c r="C652" s="108"/>
      <c r="D652" s="108"/>
      <c r="E652" s="108"/>
      <c r="F652" s="108"/>
      <c r="G652" s="108"/>
    </row>
    <row r="653" spans="1:7">
      <c r="A653" s="27"/>
      <c r="B653" s="108"/>
      <c r="C653" s="108"/>
      <c r="D653" s="108"/>
      <c r="E653" s="108"/>
      <c r="F653" s="108"/>
      <c r="G653" s="108"/>
    </row>
    <row r="654" spans="1:7">
      <c r="A654" s="27"/>
      <c r="B654" s="108"/>
      <c r="C654" s="108"/>
      <c r="D654" s="108"/>
      <c r="E654" s="108"/>
      <c r="F654" s="108"/>
      <c r="G654" s="108"/>
    </row>
    <row r="655" spans="1:7">
      <c r="A655" s="27"/>
      <c r="B655" s="108"/>
      <c r="C655" s="108"/>
      <c r="D655" s="108"/>
      <c r="E655" s="108"/>
      <c r="F655" s="108"/>
      <c r="G655" s="108"/>
    </row>
    <row r="656" spans="1:7">
      <c r="A656" s="27"/>
      <c r="B656" s="108"/>
      <c r="C656" s="108"/>
      <c r="D656" s="108"/>
      <c r="E656" s="108"/>
      <c r="F656" s="108"/>
      <c r="G656" s="108"/>
    </row>
    <row r="657" spans="1:7">
      <c r="A657" s="27"/>
      <c r="B657" s="108"/>
      <c r="C657" s="108"/>
      <c r="D657" s="108"/>
      <c r="E657" s="108"/>
      <c r="F657" s="108"/>
      <c r="G657" s="108"/>
    </row>
    <row r="658" spans="1:7">
      <c r="A658" s="27"/>
      <c r="B658" s="108"/>
      <c r="C658" s="108"/>
      <c r="D658" s="108"/>
      <c r="E658" s="108"/>
      <c r="F658" s="108"/>
      <c r="G658" s="108"/>
    </row>
    <row r="659" spans="1:7">
      <c r="A659" s="27"/>
      <c r="B659" s="108"/>
      <c r="C659" s="108"/>
      <c r="D659" s="108"/>
      <c r="E659" s="108"/>
      <c r="F659" s="108"/>
      <c r="G659" s="108"/>
    </row>
    <row r="660" spans="1:7">
      <c r="A660" s="27"/>
      <c r="B660" s="108"/>
      <c r="C660" s="108"/>
      <c r="D660" s="108"/>
      <c r="E660" s="108"/>
      <c r="F660" s="108"/>
      <c r="G660" s="108"/>
    </row>
    <row r="661" spans="1:7">
      <c r="A661" s="27"/>
      <c r="B661" s="108"/>
      <c r="C661" s="108"/>
      <c r="D661" s="108"/>
      <c r="E661" s="108"/>
      <c r="F661" s="108"/>
      <c r="G661" s="108"/>
    </row>
    <row r="662" spans="1:7">
      <c r="A662" s="27"/>
      <c r="B662" s="108"/>
      <c r="C662" s="108"/>
      <c r="D662" s="108"/>
      <c r="E662" s="108"/>
      <c r="F662" s="108"/>
      <c r="G662" s="108"/>
    </row>
    <row r="663" spans="1:7">
      <c r="A663" s="27"/>
      <c r="B663" s="108"/>
      <c r="C663" s="108"/>
      <c r="D663" s="108"/>
      <c r="E663" s="108"/>
      <c r="F663" s="108"/>
      <c r="G663" s="108"/>
    </row>
    <row r="664" spans="1:7">
      <c r="A664" s="27"/>
      <c r="B664" s="108"/>
      <c r="C664" s="108"/>
      <c r="D664" s="108"/>
      <c r="E664" s="108"/>
      <c r="F664" s="108"/>
      <c r="G664" s="108"/>
    </row>
    <row r="665" spans="1:7">
      <c r="A665" s="27"/>
      <c r="B665" s="108"/>
      <c r="C665" s="108"/>
      <c r="D665" s="108"/>
      <c r="E665" s="108"/>
      <c r="F665" s="108"/>
      <c r="G665" s="108"/>
    </row>
    <row r="666" spans="1:7">
      <c r="A666" s="27"/>
      <c r="B666" s="108"/>
      <c r="C666" s="108"/>
      <c r="D666" s="108"/>
      <c r="E666" s="108"/>
      <c r="F666" s="108"/>
      <c r="G666" s="108"/>
    </row>
    <row r="667" spans="1:7">
      <c r="A667" s="27"/>
      <c r="B667" s="108"/>
      <c r="C667" s="108"/>
      <c r="D667" s="108"/>
      <c r="E667" s="108"/>
      <c r="F667" s="108"/>
      <c r="G667" s="108"/>
    </row>
    <row r="668" spans="1:7">
      <c r="A668" s="27"/>
      <c r="B668" s="108"/>
      <c r="C668" s="108"/>
      <c r="D668" s="108"/>
      <c r="E668" s="108"/>
      <c r="F668" s="108"/>
      <c r="G668" s="108"/>
    </row>
    <row r="669" spans="1:7">
      <c r="A669" s="27"/>
      <c r="B669" s="108"/>
      <c r="C669" s="108"/>
      <c r="D669" s="108"/>
      <c r="E669" s="108"/>
      <c r="F669" s="108"/>
      <c r="G669" s="108"/>
    </row>
    <row r="670" spans="1:7">
      <c r="A670" s="27"/>
      <c r="B670" s="108"/>
      <c r="C670" s="108"/>
      <c r="D670" s="108"/>
      <c r="E670" s="108"/>
      <c r="F670" s="108"/>
      <c r="G670" s="108"/>
    </row>
    <row r="671" spans="1:7">
      <c r="A671" s="27"/>
      <c r="B671" s="108"/>
      <c r="C671" s="108"/>
      <c r="D671" s="108"/>
      <c r="E671" s="108"/>
      <c r="F671" s="108"/>
      <c r="G671" s="108"/>
    </row>
    <row r="672" spans="1:7">
      <c r="A672" s="27"/>
      <c r="B672" s="108"/>
      <c r="C672" s="108"/>
      <c r="D672" s="108"/>
      <c r="E672" s="108"/>
      <c r="F672" s="108"/>
      <c r="G672" s="108"/>
    </row>
    <row r="673" spans="1:7">
      <c r="A673" s="27"/>
      <c r="B673" s="108"/>
      <c r="C673" s="108"/>
      <c r="D673" s="108"/>
      <c r="E673" s="108"/>
      <c r="F673" s="108"/>
      <c r="G673" s="108"/>
    </row>
    <row r="674" spans="1:7">
      <c r="A674" s="27"/>
      <c r="B674" s="108"/>
      <c r="C674" s="108"/>
      <c r="D674" s="108"/>
      <c r="E674" s="108"/>
      <c r="F674" s="108"/>
      <c r="G674" s="108"/>
    </row>
    <row r="675" spans="1:7">
      <c r="A675" s="27"/>
      <c r="B675" s="108"/>
      <c r="C675" s="108"/>
      <c r="D675" s="108"/>
      <c r="E675" s="108"/>
      <c r="F675" s="108"/>
      <c r="G675" s="108"/>
    </row>
    <row r="676" spans="1:7">
      <c r="A676" s="27"/>
      <c r="B676" s="108"/>
      <c r="C676" s="108"/>
      <c r="D676" s="108"/>
      <c r="E676" s="108"/>
      <c r="F676" s="108"/>
      <c r="G676" s="108"/>
    </row>
    <row r="677" spans="1:7">
      <c r="A677" s="27"/>
      <c r="B677" s="108"/>
      <c r="C677" s="108"/>
      <c r="D677" s="108"/>
      <c r="E677" s="108"/>
      <c r="F677" s="108"/>
      <c r="G677" s="108"/>
    </row>
    <row r="678" spans="1:7">
      <c r="A678" s="27"/>
      <c r="B678" s="108"/>
      <c r="C678" s="108"/>
      <c r="D678" s="108"/>
      <c r="E678" s="108"/>
      <c r="F678" s="108"/>
      <c r="G678" s="108"/>
    </row>
    <row r="679" spans="1:7">
      <c r="A679" s="27"/>
      <c r="B679" s="108"/>
      <c r="C679" s="108"/>
      <c r="D679" s="108"/>
      <c r="E679" s="108"/>
      <c r="F679" s="108"/>
      <c r="G679" s="108"/>
    </row>
    <row r="680" spans="1:7">
      <c r="A680" s="27"/>
      <c r="B680" s="108"/>
      <c r="C680" s="108"/>
      <c r="D680" s="108"/>
      <c r="E680" s="108"/>
      <c r="F680" s="108"/>
      <c r="G680" s="108"/>
    </row>
    <row r="681" spans="1:7">
      <c r="A681" s="27"/>
      <c r="B681" s="108"/>
      <c r="C681" s="108"/>
      <c r="D681" s="108"/>
      <c r="E681" s="108"/>
      <c r="F681" s="108"/>
      <c r="G681" s="108"/>
    </row>
    <row r="682" spans="1:7">
      <c r="A682" s="27"/>
      <c r="B682" s="108"/>
      <c r="C682" s="108"/>
      <c r="D682" s="108"/>
      <c r="E682" s="108"/>
      <c r="F682" s="108"/>
      <c r="G682" s="108"/>
    </row>
    <row r="683" spans="1:7">
      <c r="A683" s="27"/>
      <c r="B683" s="108"/>
      <c r="C683" s="108"/>
      <c r="D683" s="108"/>
      <c r="E683" s="108"/>
      <c r="F683" s="108"/>
      <c r="G683" s="108"/>
    </row>
    <row r="684" spans="1:7">
      <c r="A684" s="27"/>
      <c r="B684" s="108"/>
      <c r="C684" s="108"/>
      <c r="D684" s="108"/>
      <c r="E684" s="108"/>
      <c r="F684" s="108"/>
      <c r="G684" s="108"/>
    </row>
    <row r="685" spans="1:7">
      <c r="A685" s="27"/>
      <c r="B685" s="108"/>
      <c r="C685" s="108"/>
      <c r="D685" s="108"/>
      <c r="E685" s="108"/>
      <c r="F685" s="108"/>
      <c r="G685" s="108"/>
    </row>
    <row r="686" spans="1:7">
      <c r="A686" s="27"/>
      <c r="B686" s="108"/>
      <c r="C686" s="108"/>
      <c r="D686" s="108"/>
      <c r="E686" s="108"/>
      <c r="F686" s="108"/>
      <c r="G686" s="108"/>
    </row>
    <row r="687" spans="1:7">
      <c r="A687" s="27"/>
      <c r="B687" s="108"/>
      <c r="C687" s="108"/>
      <c r="D687" s="108"/>
      <c r="E687" s="108"/>
      <c r="F687" s="108"/>
      <c r="G687" s="108"/>
    </row>
    <row r="688" spans="1:7">
      <c r="A688" s="27"/>
      <c r="B688" s="108"/>
      <c r="C688" s="108"/>
      <c r="D688" s="108"/>
      <c r="E688" s="108"/>
      <c r="F688" s="108"/>
      <c r="G688" s="108"/>
    </row>
    <row r="689" spans="1:7">
      <c r="A689" s="27"/>
      <c r="B689" s="108"/>
      <c r="C689" s="108"/>
      <c r="D689" s="108"/>
      <c r="E689" s="108"/>
      <c r="F689" s="108"/>
      <c r="G689" s="108"/>
    </row>
    <row r="690" spans="1:7">
      <c r="A690" s="27"/>
      <c r="B690" s="108"/>
      <c r="C690" s="108"/>
      <c r="D690" s="108"/>
      <c r="E690" s="108"/>
      <c r="F690" s="108"/>
      <c r="G690" s="108"/>
    </row>
    <row r="691" spans="1:7">
      <c r="A691" s="27"/>
      <c r="B691" s="108"/>
      <c r="C691" s="108"/>
      <c r="D691" s="108"/>
      <c r="E691" s="108"/>
      <c r="F691" s="108"/>
      <c r="G691" s="108"/>
    </row>
    <row r="692" spans="1:7">
      <c r="A692" s="27"/>
      <c r="B692" s="108"/>
      <c r="C692" s="108"/>
      <c r="D692" s="108"/>
      <c r="E692" s="108"/>
      <c r="F692" s="108"/>
      <c r="G692" s="108"/>
    </row>
    <row r="693" spans="1:7">
      <c r="A693" s="27"/>
      <c r="B693" s="108"/>
      <c r="C693" s="108"/>
      <c r="D693" s="108"/>
      <c r="E693" s="108"/>
      <c r="F693" s="108"/>
      <c r="G693" s="108"/>
    </row>
    <row r="694" spans="1:7">
      <c r="A694" s="27"/>
      <c r="B694" s="108"/>
      <c r="C694" s="108"/>
      <c r="D694" s="108"/>
      <c r="E694" s="108"/>
      <c r="F694" s="108"/>
      <c r="G694" s="108"/>
    </row>
    <row r="695" spans="1:7">
      <c r="A695" s="27"/>
      <c r="B695" s="108"/>
      <c r="C695" s="108"/>
      <c r="D695" s="108"/>
      <c r="E695" s="108"/>
      <c r="F695" s="108"/>
      <c r="G695" s="108"/>
    </row>
    <row r="696" spans="1:7">
      <c r="A696" s="27"/>
      <c r="B696" s="108"/>
      <c r="C696" s="108"/>
      <c r="D696" s="108"/>
      <c r="E696" s="108"/>
      <c r="F696" s="108"/>
      <c r="G696" s="108"/>
    </row>
    <row r="697" spans="1:7">
      <c r="A697" s="27"/>
      <c r="B697" s="108"/>
      <c r="C697" s="108"/>
      <c r="D697" s="108"/>
      <c r="E697" s="108"/>
      <c r="F697" s="108"/>
      <c r="G697" s="108"/>
    </row>
    <row r="698" spans="1:7">
      <c r="A698" s="27"/>
      <c r="B698" s="108"/>
      <c r="C698" s="108"/>
      <c r="D698" s="108"/>
      <c r="E698" s="108"/>
      <c r="F698" s="108"/>
      <c r="G698" s="108"/>
    </row>
    <row r="699" spans="1:7">
      <c r="A699" s="27"/>
      <c r="B699" s="108"/>
      <c r="C699" s="108"/>
      <c r="D699" s="108"/>
      <c r="E699" s="108"/>
      <c r="F699" s="108"/>
      <c r="G699" s="108"/>
    </row>
    <row r="700" spans="1:7">
      <c r="A700" s="27"/>
      <c r="B700" s="108"/>
      <c r="C700" s="108"/>
      <c r="D700" s="108"/>
      <c r="E700" s="108"/>
      <c r="F700" s="108"/>
      <c r="G700" s="108"/>
    </row>
    <row r="701" spans="1:7">
      <c r="A701" s="27"/>
      <c r="B701" s="108"/>
      <c r="C701" s="108"/>
      <c r="D701" s="108"/>
      <c r="E701" s="108"/>
      <c r="F701" s="108"/>
      <c r="G701" s="108"/>
    </row>
    <row r="702" spans="1:7">
      <c r="A702" s="27"/>
      <c r="B702" s="108"/>
      <c r="C702" s="108"/>
      <c r="D702" s="108"/>
      <c r="E702" s="108"/>
      <c r="F702" s="108"/>
      <c r="G702" s="108"/>
    </row>
    <row r="703" spans="1:7">
      <c r="A703" s="27"/>
      <c r="B703" s="108"/>
      <c r="C703" s="108"/>
      <c r="D703" s="108"/>
      <c r="E703" s="108"/>
      <c r="F703" s="108"/>
      <c r="G703" s="108"/>
    </row>
    <row r="704" spans="1:7">
      <c r="A704" s="27"/>
      <c r="B704" s="108"/>
      <c r="C704" s="108"/>
      <c r="D704" s="108"/>
      <c r="E704" s="108"/>
      <c r="F704" s="108"/>
      <c r="G704" s="108"/>
    </row>
    <row r="705" spans="1:7">
      <c r="A705" s="27"/>
      <c r="B705" s="108"/>
      <c r="C705" s="108"/>
      <c r="D705" s="108"/>
      <c r="E705" s="108"/>
      <c r="F705" s="108"/>
      <c r="G705" s="108"/>
    </row>
    <row r="706" spans="1:7">
      <c r="A706" s="27"/>
      <c r="B706" s="108"/>
      <c r="C706" s="108"/>
      <c r="D706" s="108"/>
      <c r="E706" s="108"/>
      <c r="F706" s="108"/>
      <c r="G706" s="108"/>
    </row>
    <row r="707" spans="1:7">
      <c r="A707" s="27"/>
      <c r="B707" s="108"/>
      <c r="C707" s="108"/>
      <c r="D707" s="108"/>
      <c r="E707" s="108"/>
      <c r="F707" s="108"/>
      <c r="G707" s="108"/>
    </row>
    <row r="708" spans="1:7">
      <c r="A708" s="27"/>
      <c r="B708" s="108"/>
      <c r="C708" s="108"/>
      <c r="D708" s="108"/>
      <c r="E708" s="108"/>
      <c r="F708" s="108"/>
      <c r="G708" s="108"/>
    </row>
    <row r="709" spans="1:7">
      <c r="A709" s="27"/>
      <c r="B709" s="108"/>
      <c r="C709" s="108"/>
      <c r="D709" s="108"/>
      <c r="E709" s="108"/>
      <c r="F709" s="108"/>
      <c r="G709" s="108"/>
    </row>
    <row r="710" spans="1:7">
      <c r="A710" s="27"/>
      <c r="B710" s="108"/>
      <c r="C710" s="108"/>
      <c r="D710" s="108"/>
      <c r="E710" s="108"/>
      <c r="F710" s="108"/>
      <c r="G710" s="108"/>
    </row>
    <row r="711" spans="1:7">
      <c r="A711" s="27"/>
      <c r="B711" s="108"/>
      <c r="C711" s="108"/>
      <c r="D711" s="108"/>
      <c r="E711" s="108"/>
      <c r="F711" s="108"/>
      <c r="G711" s="108"/>
    </row>
    <row r="712" spans="1:7">
      <c r="A712" s="27"/>
      <c r="B712" s="108"/>
      <c r="C712" s="108"/>
      <c r="D712" s="108"/>
      <c r="E712" s="108"/>
      <c r="F712" s="108"/>
      <c r="G712" s="108"/>
    </row>
    <row r="713" spans="1:7">
      <c r="A713" s="27"/>
      <c r="B713" s="108"/>
      <c r="C713" s="108"/>
      <c r="D713" s="108"/>
      <c r="E713" s="108"/>
      <c r="F713" s="108"/>
      <c r="G713" s="108"/>
    </row>
    <row r="714" spans="1:7">
      <c r="A714" s="27"/>
      <c r="B714" s="108"/>
      <c r="C714" s="108"/>
      <c r="D714" s="108"/>
      <c r="E714" s="108"/>
      <c r="F714" s="108"/>
      <c r="G714" s="108"/>
    </row>
    <row r="715" spans="1:7">
      <c r="A715" s="27"/>
      <c r="B715" s="108"/>
      <c r="C715" s="108"/>
      <c r="D715" s="108"/>
      <c r="E715" s="108"/>
      <c r="F715" s="108"/>
      <c r="G715" s="108"/>
    </row>
    <row r="716" spans="1:7">
      <c r="A716" s="27"/>
      <c r="B716" s="108"/>
      <c r="C716" s="108"/>
      <c r="D716" s="108"/>
      <c r="E716" s="108"/>
      <c r="F716" s="108"/>
      <c r="G716" s="108"/>
    </row>
    <row r="717" spans="1:7">
      <c r="A717" s="27"/>
      <c r="B717" s="108"/>
      <c r="C717" s="108"/>
      <c r="D717" s="108"/>
      <c r="E717" s="108"/>
      <c r="F717" s="108"/>
      <c r="G717" s="108"/>
    </row>
    <row r="718" spans="1:7">
      <c r="A718" s="27"/>
      <c r="B718" s="108"/>
      <c r="C718" s="108"/>
      <c r="D718" s="108"/>
      <c r="E718" s="108"/>
      <c r="F718" s="108"/>
      <c r="G718" s="108"/>
    </row>
    <row r="719" spans="1:7">
      <c r="A719" s="27"/>
      <c r="B719" s="108"/>
      <c r="C719" s="108"/>
      <c r="D719" s="108"/>
      <c r="E719" s="108"/>
      <c r="F719" s="108"/>
      <c r="G719" s="108"/>
    </row>
    <row r="720" spans="1:7">
      <c r="A720" s="27"/>
      <c r="B720" s="108"/>
      <c r="C720" s="108"/>
      <c r="D720" s="108"/>
      <c r="E720" s="108"/>
      <c r="F720" s="108"/>
      <c r="G720" s="108"/>
    </row>
    <row r="721" spans="1:7">
      <c r="A721" s="27"/>
      <c r="B721" s="108"/>
      <c r="C721" s="108"/>
      <c r="D721" s="108"/>
      <c r="E721" s="108"/>
      <c r="F721" s="108"/>
      <c r="G721" s="108"/>
    </row>
    <row r="722" spans="1:7">
      <c r="A722" s="27"/>
      <c r="B722" s="108"/>
      <c r="C722" s="108"/>
      <c r="D722" s="108"/>
      <c r="E722" s="108"/>
      <c r="F722" s="108"/>
      <c r="G722" s="108"/>
    </row>
    <row r="723" spans="1:7">
      <c r="A723" s="27"/>
      <c r="B723" s="108"/>
      <c r="C723" s="108"/>
      <c r="D723" s="108"/>
      <c r="E723" s="108"/>
      <c r="F723" s="108"/>
      <c r="G723" s="108"/>
    </row>
    <row r="724" spans="1:7">
      <c r="A724" s="27"/>
      <c r="B724" s="108"/>
      <c r="C724" s="108"/>
      <c r="D724" s="108"/>
      <c r="E724" s="108"/>
      <c r="F724" s="108"/>
      <c r="G724" s="108"/>
    </row>
    <row r="725" spans="1:7">
      <c r="A725" s="27"/>
      <c r="B725" s="108"/>
      <c r="C725" s="108"/>
      <c r="D725" s="108"/>
      <c r="E725" s="108"/>
      <c r="F725" s="108"/>
      <c r="G725" s="108"/>
    </row>
    <row r="726" spans="1:7">
      <c r="A726" s="27"/>
      <c r="B726" s="108"/>
      <c r="C726" s="108"/>
      <c r="D726" s="108"/>
      <c r="E726" s="108"/>
      <c r="F726" s="108"/>
      <c r="G726" s="108"/>
    </row>
    <row r="727" spans="1:7">
      <c r="A727" s="27"/>
      <c r="B727" s="108"/>
      <c r="C727" s="108"/>
      <c r="D727" s="108"/>
      <c r="E727" s="108"/>
      <c r="F727" s="108"/>
      <c r="G727" s="108"/>
    </row>
    <row r="728" spans="1:7">
      <c r="A728" s="27"/>
      <c r="B728" s="108"/>
      <c r="C728" s="108"/>
      <c r="D728" s="108"/>
      <c r="E728" s="108"/>
      <c r="F728" s="108"/>
      <c r="G728" s="108"/>
    </row>
    <row r="729" spans="1:7">
      <c r="A729" s="27"/>
      <c r="B729" s="108"/>
      <c r="C729" s="108"/>
      <c r="D729" s="108"/>
      <c r="E729" s="108"/>
      <c r="F729" s="108"/>
      <c r="G729" s="108"/>
    </row>
    <row r="730" spans="1:7">
      <c r="A730" s="27"/>
      <c r="B730" s="108"/>
      <c r="C730" s="108"/>
      <c r="D730" s="108"/>
      <c r="E730" s="108"/>
      <c r="F730" s="108"/>
      <c r="G730" s="108"/>
    </row>
    <row r="731" spans="1:7">
      <c r="A731" s="27"/>
      <c r="B731" s="108"/>
      <c r="C731" s="108"/>
      <c r="D731" s="108"/>
      <c r="E731" s="108"/>
      <c r="F731" s="108"/>
      <c r="G731" s="108"/>
    </row>
    <row r="732" spans="1:7">
      <c r="A732" s="27"/>
      <c r="B732" s="108"/>
      <c r="C732" s="108"/>
      <c r="D732" s="108"/>
      <c r="E732" s="108"/>
      <c r="F732" s="108"/>
      <c r="G732" s="108"/>
    </row>
    <row r="733" spans="1:7">
      <c r="A733" s="27"/>
      <c r="B733" s="108"/>
      <c r="C733" s="108"/>
      <c r="D733" s="108"/>
      <c r="E733" s="108"/>
      <c r="F733" s="108"/>
      <c r="G733" s="108"/>
    </row>
    <row r="734" spans="1:7">
      <c r="A734" s="27"/>
      <c r="B734" s="108"/>
      <c r="C734" s="108"/>
      <c r="D734" s="108"/>
      <c r="E734" s="108"/>
      <c r="F734" s="108"/>
      <c r="G734" s="108"/>
    </row>
    <row r="735" spans="1:7">
      <c r="A735" s="27"/>
      <c r="B735" s="108"/>
      <c r="C735" s="108"/>
      <c r="D735" s="108"/>
      <c r="E735" s="108"/>
      <c r="F735" s="108"/>
      <c r="G735" s="108"/>
    </row>
    <row r="736" spans="1:7">
      <c r="A736" s="27"/>
      <c r="B736" s="108"/>
      <c r="C736" s="108"/>
      <c r="D736" s="108"/>
      <c r="E736" s="108"/>
      <c r="F736" s="108"/>
      <c r="G736" s="108"/>
    </row>
    <row r="737" spans="1:7">
      <c r="A737" s="27"/>
      <c r="B737" s="108"/>
      <c r="C737" s="108"/>
      <c r="D737" s="108"/>
      <c r="E737" s="108"/>
      <c r="F737" s="108"/>
      <c r="G737" s="108"/>
    </row>
    <row r="738" spans="1:7">
      <c r="A738" s="27"/>
      <c r="B738" s="108"/>
      <c r="C738" s="108"/>
      <c r="D738" s="108"/>
      <c r="E738" s="108"/>
      <c r="F738" s="108"/>
      <c r="G738" s="108"/>
    </row>
    <row r="739" spans="1:7">
      <c r="A739" s="27"/>
      <c r="B739" s="108"/>
      <c r="C739" s="108"/>
      <c r="D739" s="108"/>
      <c r="E739" s="108"/>
      <c r="F739" s="108"/>
      <c r="G739" s="108"/>
    </row>
    <row r="740" spans="1:7">
      <c r="A740" s="27"/>
      <c r="B740" s="108"/>
      <c r="C740" s="108"/>
      <c r="D740" s="108"/>
      <c r="E740" s="108"/>
      <c r="F740" s="108"/>
      <c r="G740" s="108"/>
    </row>
    <row r="741" spans="1:7">
      <c r="A741" s="27"/>
      <c r="B741" s="108"/>
      <c r="C741" s="108"/>
      <c r="D741" s="108"/>
      <c r="E741" s="108"/>
      <c r="F741" s="108"/>
      <c r="G741" s="108"/>
    </row>
    <row r="742" spans="1:7">
      <c r="A742" s="27"/>
      <c r="B742" s="108"/>
      <c r="C742" s="108"/>
      <c r="D742" s="108"/>
      <c r="E742" s="108"/>
      <c r="F742" s="108"/>
      <c r="G742" s="108"/>
    </row>
    <row r="743" spans="1:7">
      <c r="A743" s="27"/>
      <c r="B743" s="108"/>
      <c r="C743" s="108"/>
      <c r="D743" s="108"/>
      <c r="E743" s="108"/>
      <c r="F743" s="108"/>
      <c r="G743" s="108"/>
    </row>
    <row r="744" spans="1:7">
      <c r="A744" s="27"/>
      <c r="B744" s="108"/>
      <c r="C744" s="108"/>
      <c r="D744" s="108"/>
      <c r="E744" s="108"/>
      <c r="F744" s="108"/>
      <c r="G744" s="108"/>
    </row>
    <row r="745" spans="1:7">
      <c r="A745" s="27"/>
      <c r="B745" s="108"/>
      <c r="C745" s="108"/>
      <c r="D745" s="108"/>
      <c r="E745" s="108"/>
      <c r="F745" s="108"/>
      <c r="G745" s="108"/>
    </row>
    <row r="746" spans="1:7">
      <c r="A746" s="27"/>
      <c r="B746" s="108"/>
      <c r="C746" s="108"/>
      <c r="D746" s="108"/>
      <c r="E746" s="108"/>
      <c r="F746" s="108"/>
      <c r="G746" s="108"/>
    </row>
    <row r="747" spans="1:7">
      <c r="A747" s="27"/>
      <c r="B747" s="108"/>
      <c r="C747" s="108"/>
      <c r="D747" s="108"/>
      <c r="E747" s="108"/>
      <c r="F747" s="108"/>
      <c r="G747" s="108"/>
    </row>
    <row r="748" spans="1:7">
      <c r="A748" s="27"/>
      <c r="B748" s="108"/>
      <c r="C748" s="108"/>
      <c r="D748" s="108"/>
      <c r="E748" s="108"/>
      <c r="F748" s="108"/>
      <c r="G748" s="108"/>
    </row>
    <row r="749" spans="1:7">
      <c r="A749" s="27"/>
      <c r="B749" s="108"/>
      <c r="C749" s="108"/>
      <c r="D749" s="108"/>
      <c r="E749" s="108"/>
      <c r="F749" s="108"/>
      <c r="G749" s="108"/>
    </row>
    <row r="750" spans="1:7">
      <c r="A750" s="27"/>
      <c r="B750" s="108"/>
      <c r="C750" s="108"/>
      <c r="D750" s="108"/>
      <c r="E750" s="108"/>
      <c r="F750" s="108"/>
      <c r="G750" s="108"/>
    </row>
    <row r="751" spans="1:7">
      <c r="A751" s="27"/>
      <c r="B751" s="108"/>
      <c r="C751" s="108"/>
      <c r="D751" s="108"/>
      <c r="E751" s="108"/>
      <c r="F751" s="108"/>
      <c r="G751" s="108"/>
    </row>
    <row r="752" spans="1:7">
      <c r="A752" s="27"/>
      <c r="B752" s="108"/>
      <c r="C752" s="108"/>
      <c r="D752" s="108"/>
      <c r="E752" s="108"/>
      <c r="F752" s="108"/>
      <c r="G752" s="108"/>
    </row>
    <row r="753" spans="1:7">
      <c r="A753" s="27"/>
      <c r="B753" s="108"/>
      <c r="C753" s="108"/>
      <c r="D753" s="108"/>
      <c r="E753" s="108"/>
      <c r="F753" s="108"/>
      <c r="G753" s="108"/>
    </row>
    <row r="754" spans="1:7">
      <c r="A754" s="27"/>
      <c r="B754" s="108"/>
      <c r="C754" s="108"/>
      <c r="D754" s="108"/>
      <c r="E754" s="108"/>
      <c r="F754" s="108"/>
      <c r="G754" s="108"/>
    </row>
    <row r="755" spans="1:7">
      <c r="A755" s="27"/>
      <c r="B755" s="108"/>
      <c r="C755" s="108"/>
      <c r="D755" s="108"/>
      <c r="E755" s="108"/>
      <c r="F755" s="108"/>
      <c r="G755" s="108"/>
    </row>
    <row r="756" spans="1:7">
      <c r="A756" s="27"/>
      <c r="B756" s="108"/>
      <c r="C756" s="108"/>
      <c r="D756" s="108"/>
      <c r="E756" s="108"/>
      <c r="F756" s="108"/>
      <c r="G756" s="108"/>
    </row>
    <row r="757" spans="1:7">
      <c r="A757" s="27"/>
      <c r="B757" s="108"/>
      <c r="C757" s="108"/>
      <c r="D757" s="108"/>
      <c r="E757" s="108"/>
      <c r="F757" s="108"/>
      <c r="G757" s="108"/>
    </row>
    <row r="758" spans="1:7">
      <c r="A758" s="27"/>
      <c r="B758" s="108"/>
      <c r="C758" s="108"/>
      <c r="D758" s="108"/>
      <c r="E758" s="108"/>
      <c r="F758" s="108"/>
      <c r="G758" s="108"/>
    </row>
    <row r="759" spans="1:7">
      <c r="A759" s="27"/>
      <c r="B759" s="108"/>
      <c r="C759" s="108"/>
      <c r="D759" s="108"/>
      <c r="E759" s="108"/>
      <c r="F759" s="108"/>
      <c r="G759" s="108"/>
    </row>
    <row r="760" spans="1:7">
      <c r="A760" s="27"/>
      <c r="B760" s="108"/>
      <c r="C760" s="108"/>
      <c r="D760" s="108"/>
      <c r="E760" s="108"/>
      <c r="F760" s="108"/>
      <c r="G760" s="108"/>
    </row>
    <row r="761" spans="1:7">
      <c r="A761" s="27"/>
      <c r="B761" s="108"/>
      <c r="C761" s="108"/>
      <c r="D761" s="108"/>
      <c r="E761" s="108"/>
      <c r="F761" s="108"/>
      <c r="G761" s="108"/>
    </row>
    <row r="762" spans="1:7">
      <c r="A762" s="27"/>
      <c r="B762" s="108"/>
      <c r="C762" s="108"/>
      <c r="D762" s="108"/>
      <c r="E762" s="108"/>
      <c r="F762" s="108"/>
      <c r="G762" s="108"/>
    </row>
    <row r="763" spans="1:7">
      <c r="A763" s="27"/>
      <c r="B763" s="108"/>
      <c r="C763" s="108"/>
      <c r="D763" s="108"/>
      <c r="E763" s="108"/>
      <c r="F763" s="108"/>
      <c r="G763" s="108"/>
    </row>
    <row r="764" spans="1:7">
      <c r="A764" s="27"/>
      <c r="B764" s="108"/>
      <c r="C764" s="108"/>
      <c r="D764" s="108"/>
      <c r="E764" s="108"/>
      <c r="F764" s="108"/>
      <c r="G764" s="108"/>
    </row>
    <row r="765" spans="1:7">
      <c r="A765" s="27"/>
      <c r="B765" s="108"/>
      <c r="C765" s="108"/>
      <c r="D765" s="108"/>
      <c r="E765" s="108"/>
      <c r="F765" s="108"/>
      <c r="G765" s="108"/>
    </row>
    <row r="766" spans="1:7">
      <c r="A766" s="27"/>
      <c r="B766" s="108"/>
      <c r="C766" s="108"/>
      <c r="D766" s="108"/>
      <c r="E766" s="108"/>
      <c r="F766" s="108"/>
      <c r="G766" s="108"/>
    </row>
    <row r="767" spans="1:7">
      <c r="A767" s="27"/>
      <c r="B767" s="108"/>
      <c r="C767" s="108"/>
      <c r="D767" s="108"/>
      <c r="E767" s="108"/>
      <c r="F767" s="108"/>
      <c r="G767" s="108"/>
    </row>
    <row r="768" spans="1:7">
      <c r="A768" s="27"/>
      <c r="B768" s="108"/>
      <c r="C768" s="108"/>
      <c r="D768" s="108"/>
      <c r="E768" s="108"/>
      <c r="F768" s="108"/>
      <c r="G768" s="108"/>
    </row>
    <row r="769" spans="1:7">
      <c r="A769" s="27"/>
      <c r="B769" s="108"/>
      <c r="C769" s="108"/>
      <c r="D769" s="108"/>
      <c r="E769" s="108"/>
      <c r="F769" s="108"/>
      <c r="G769" s="108"/>
    </row>
    <row r="770" spans="1:7">
      <c r="A770" s="27"/>
      <c r="B770" s="108"/>
      <c r="C770" s="108"/>
      <c r="D770" s="108"/>
      <c r="E770" s="108"/>
      <c r="F770" s="108"/>
      <c r="G770" s="108"/>
    </row>
    <row r="771" spans="1:7">
      <c r="A771" s="27"/>
      <c r="B771" s="108"/>
      <c r="C771" s="108"/>
      <c r="D771" s="108"/>
      <c r="E771" s="108"/>
      <c r="F771" s="108"/>
      <c r="G771" s="108"/>
    </row>
    <row r="772" spans="1:7">
      <c r="A772" s="27"/>
      <c r="B772" s="108"/>
      <c r="C772" s="108"/>
      <c r="D772" s="108"/>
      <c r="E772" s="108"/>
      <c r="F772" s="108"/>
      <c r="G772" s="108"/>
    </row>
    <row r="773" spans="1:7">
      <c r="A773" s="27"/>
      <c r="B773" s="108"/>
      <c r="C773" s="108"/>
      <c r="D773" s="108"/>
      <c r="E773" s="108"/>
      <c r="F773" s="108"/>
      <c r="G773" s="108"/>
    </row>
    <row r="774" spans="1:7">
      <c r="A774" s="27"/>
      <c r="B774" s="108"/>
      <c r="C774" s="108"/>
      <c r="D774" s="108"/>
      <c r="E774" s="108"/>
      <c r="F774" s="108"/>
      <c r="G774" s="108"/>
    </row>
    <row r="775" spans="1:7">
      <c r="A775" s="27"/>
      <c r="B775" s="108"/>
      <c r="C775" s="108"/>
      <c r="D775" s="108"/>
      <c r="E775" s="108"/>
      <c r="F775" s="108"/>
      <c r="G775" s="108"/>
    </row>
    <row r="776" spans="1:7">
      <c r="A776" s="27"/>
      <c r="B776" s="108"/>
      <c r="C776" s="108"/>
      <c r="D776" s="108"/>
      <c r="E776" s="108"/>
      <c r="F776" s="108"/>
      <c r="G776" s="108"/>
    </row>
    <row r="777" spans="1:7">
      <c r="A777" s="27"/>
      <c r="B777" s="108"/>
      <c r="C777" s="108"/>
      <c r="D777" s="108"/>
      <c r="E777" s="108"/>
      <c r="F777" s="108"/>
      <c r="G777" s="108"/>
    </row>
    <row r="778" spans="1:7">
      <c r="A778" s="27"/>
      <c r="B778" s="108"/>
      <c r="C778" s="108"/>
      <c r="D778" s="108"/>
      <c r="E778" s="108"/>
      <c r="F778" s="108"/>
      <c r="G778" s="108"/>
    </row>
    <row r="779" spans="1:7">
      <c r="A779" s="27"/>
      <c r="B779" s="108"/>
      <c r="C779" s="108"/>
      <c r="D779" s="108"/>
      <c r="E779" s="108"/>
      <c r="F779" s="108"/>
      <c r="G779" s="108"/>
    </row>
    <row r="780" spans="1:7">
      <c r="A780" s="27"/>
      <c r="B780" s="108"/>
      <c r="C780" s="108"/>
      <c r="D780" s="108"/>
      <c r="E780" s="108"/>
      <c r="F780" s="108"/>
      <c r="G780" s="108"/>
    </row>
    <row r="781" spans="1:7">
      <c r="A781" s="27"/>
      <c r="B781" s="108"/>
      <c r="C781" s="108"/>
      <c r="D781" s="108"/>
      <c r="E781" s="108"/>
      <c r="F781" s="108"/>
      <c r="G781" s="108"/>
    </row>
    <row r="782" spans="1:7">
      <c r="A782" s="27"/>
      <c r="B782" s="108"/>
      <c r="C782" s="108"/>
      <c r="D782" s="108"/>
      <c r="E782" s="108"/>
      <c r="F782" s="108"/>
      <c r="G782" s="108"/>
    </row>
    <row r="783" spans="1:7">
      <c r="A783" s="27"/>
      <c r="B783" s="108"/>
      <c r="C783" s="108"/>
      <c r="D783" s="108"/>
      <c r="E783" s="108"/>
      <c r="F783" s="108"/>
      <c r="G783" s="108"/>
    </row>
    <row r="784" spans="1:7">
      <c r="A784" s="27"/>
      <c r="B784" s="108"/>
      <c r="C784" s="108"/>
      <c r="D784" s="108"/>
      <c r="E784" s="108"/>
      <c r="F784" s="108"/>
      <c r="G784" s="108"/>
    </row>
    <row r="785" spans="1:7">
      <c r="A785" s="27"/>
      <c r="B785" s="108"/>
      <c r="C785" s="108"/>
      <c r="D785" s="108"/>
      <c r="E785" s="108"/>
      <c r="F785" s="108"/>
      <c r="G785" s="108"/>
    </row>
    <row r="786" spans="1:7">
      <c r="A786" s="27"/>
      <c r="B786" s="108"/>
      <c r="C786" s="108"/>
      <c r="D786" s="108"/>
      <c r="E786" s="108"/>
      <c r="F786" s="108"/>
      <c r="G786" s="108"/>
    </row>
    <row r="787" spans="1:7">
      <c r="A787" s="27"/>
      <c r="B787" s="108"/>
      <c r="C787" s="108"/>
      <c r="D787" s="108"/>
      <c r="E787" s="108"/>
      <c r="F787" s="108"/>
      <c r="G787" s="108"/>
    </row>
    <row r="788" spans="1:7">
      <c r="A788" s="27"/>
      <c r="B788" s="108"/>
      <c r="C788" s="108"/>
      <c r="D788" s="108"/>
      <c r="E788" s="108"/>
      <c r="F788" s="108"/>
      <c r="G788" s="108"/>
    </row>
    <row r="789" spans="1:7">
      <c r="A789" s="27"/>
      <c r="B789" s="108"/>
      <c r="C789" s="108"/>
      <c r="D789" s="108"/>
      <c r="E789" s="108"/>
      <c r="F789" s="108"/>
      <c r="G789" s="108"/>
    </row>
    <row r="790" spans="1:7">
      <c r="A790" s="27"/>
      <c r="B790" s="108"/>
      <c r="C790" s="108"/>
      <c r="D790" s="108"/>
      <c r="E790" s="108"/>
      <c r="F790" s="108"/>
      <c r="G790" s="108"/>
    </row>
    <row r="791" spans="1:7">
      <c r="A791" s="27"/>
      <c r="B791" s="108"/>
      <c r="C791" s="108"/>
      <c r="D791" s="108"/>
      <c r="E791" s="108"/>
      <c r="F791" s="108"/>
      <c r="G791" s="108"/>
    </row>
    <row r="792" spans="1:7">
      <c r="A792" s="27"/>
      <c r="B792" s="108"/>
      <c r="C792" s="108"/>
      <c r="D792" s="108"/>
      <c r="E792" s="108"/>
      <c r="F792" s="108"/>
      <c r="G792" s="108"/>
    </row>
    <row r="793" spans="1:7">
      <c r="A793" s="27"/>
      <c r="B793" s="108"/>
      <c r="C793" s="108"/>
      <c r="D793" s="108"/>
      <c r="E793" s="108"/>
      <c r="F793" s="108"/>
      <c r="G793" s="108"/>
    </row>
    <row r="794" spans="1:7">
      <c r="A794" s="27"/>
      <c r="B794" s="108"/>
      <c r="C794" s="108"/>
      <c r="D794" s="108"/>
      <c r="E794" s="108"/>
      <c r="F794" s="108"/>
      <c r="G794" s="108"/>
    </row>
    <row r="795" spans="1:7">
      <c r="A795" s="27"/>
      <c r="B795" s="108"/>
      <c r="C795" s="108"/>
      <c r="D795" s="108"/>
      <c r="E795" s="108"/>
      <c r="F795" s="108"/>
      <c r="G795" s="108"/>
    </row>
    <row r="796" spans="1:7">
      <c r="A796" s="27"/>
      <c r="B796" s="108"/>
      <c r="C796" s="108"/>
      <c r="D796" s="108"/>
      <c r="E796" s="108"/>
      <c r="F796" s="108"/>
      <c r="G796" s="108"/>
    </row>
    <row r="797" spans="1:7">
      <c r="A797" s="27"/>
      <c r="B797" s="108"/>
      <c r="C797" s="108"/>
      <c r="D797" s="108"/>
      <c r="E797" s="108"/>
      <c r="F797" s="108"/>
      <c r="G797" s="108"/>
    </row>
    <row r="798" spans="1:7">
      <c r="A798" s="27"/>
      <c r="B798" s="108"/>
      <c r="C798" s="108"/>
      <c r="D798" s="108"/>
      <c r="E798" s="108"/>
      <c r="F798" s="108"/>
      <c r="G798" s="108"/>
    </row>
    <row r="799" spans="1:7">
      <c r="A799" s="27"/>
      <c r="B799" s="108"/>
      <c r="C799" s="108"/>
      <c r="D799" s="108"/>
      <c r="E799" s="108"/>
      <c r="F799" s="108"/>
      <c r="G799" s="108"/>
    </row>
    <row r="800" spans="1:7">
      <c r="A800" s="27"/>
      <c r="B800" s="108"/>
      <c r="C800" s="108"/>
      <c r="D800" s="108"/>
      <c r="E800" s="108"/>
      <c r="F800" s="108"/>
      <c r="G800" s="108"/>
    </row>
    <row r="801" spans="1:7">
      <c r="A801" s="27"/>
      <c r="B801" s="108"/>
      <c r="C801" s="108"/>
      <c r="D801" s="108"/>
      <c r="E801" s="108"/>
      <c r="F801" s="108"/>
      <c r="G801" s="108"/>
    </row>
    <row r="802" spans="1:7">
      <c r="A802" s="27"/>
      <c r="B802" s="108"/>
      <c r="C802" s="108"/>
      <c r="D802" s="108"/>
      <c r="E802" s="108"/>
      <c r="F802" s="108"/>
      <c r="G802" s="108"/>
    </row>
    <row r="803" spans="1:7">
      <c r="A803" s="27"/>
      <c r="B803" s="108"/>
      <c r="C803" s="108"/>
      <c r="D803" s="108"/>
      <c r="E803" s="108"/>
      <c r="F803" s="108"/>
      <c r="G803" s="108"/>
    </row>
    <row r="804" spans="1:7">
      <c r="A804" s="27"/>
      <c r="B804" s="108"/>
      <c r="C804" s="108"/>
      <c r="D804" s="108"/>
      <c r="E804" s="108"/>
      <c r="F804" s="108"/>
      <c r="G804" s="108"/>
    </row>
    <row r="805" spans="1:7">
      <c r="A805" s="27"/>
      <c r="B805" s="108"/>
      <c r="C805" s="108"/>
      <c r="D805" s="108"/>
      <c r="E805" s="108"/>
      <c r="F805" s="108"/>
      <c r="G805" s="108"/>
    </row>
    <row r="806" spans="1:7">
      <c r="A806" s="27"/>
      <c r="B806" s="108"/>
      <c r="C806" s="108"/>
      <c r="D806" s="108"/>
      <c r="E806" s="108"/>
      <c r="F806" s="108"/>
      <c r="G806" s="108"/>
    </row>
    <row r="807" spans="1:7">
      <c r="A807" s="27"/>
      <c r="B807" s="108"/>
      <c r="C807" s="108"/>
      <c r="D807" s="108"/>
      <c r="E807" s="108"/>
      <c r="F807" s="108"/>
      <c r="G807" s="108"/>
    </row>
    <row r="808" spans="1:7">
      <c r="A808" s="27"/>
      <c r="B808" s="108"/>
      <c r="C808" s="108"/>
      <c r="D808" s="108"/>
      <c r="E808" s="108"/>
      <c r="F808" s="108"/>
      <c r="G808" s="108"/>
    </row>
    <row r="809" spans="1:7">
      <c r="A809" s="27"/>
      <c r="B809" s="108"/>
      <c r="C809" s="108"/>
      <c r="D809" s="108"/>
      <c r="E809" s="108"/>
      <c r="F809" s="108"/>
      <c r="G809" s="108"/>
    </row>
    <row r="810" spans="1:7">
      <c r="A810" s="27"/>
      <c r="B810" s="108"/>
      <c r="C810" s="108"/>
      <c r="D810" s="108"/>
      <c r="E810" s="108"/>
      <c r="F810" s="108"/>
      <c r="G810" s="108"/>
    </row>
    <row r="811" spans="1:7">
      <c r="A811" s="27"/>
      <c r="B811" s="108"/>
      <c r="C811" s="108"/>
      <c r="D811" s="108"/>
      <c r="E811" s="108"/>
      <c r="F811" s="108"/>
      <c r="G811" s="108"/>
    </row>
    <row r="812" spans="1:7">
      <c r="A812" s="27"/>
      <c r="B812" s="108"/>
      <c r="C812" s="108"/>
      <c r="D812" s="108"/>
      <c r="E812" s="108"/>
      <c r="F812" s="108"/>
      <c r="G812" s="108"/>
    </row>
    <row r="813" spans="1:7">
      <c r="A813" s="27"/>
      <c r="B813" s="108"/>
      <c r="C813" s="108"/>
      <c r="D813" s="108"/>
      <c r="E813" s="108"/>
      <c r="F813" s="108"/>
      <c r="G813" s="108"/>
    </row>
    <row r="814" spans="1:7">
      <c r="A814" s="27"/>
      <c r="B814" s="108"/>
      <c r="C814" s="108"/>
      <c r="D814" s="108"/>
      <c r="E814" s="108"/>
      <c r="F814" s="108"/>
      <c r="G814" s="108"/>
    </row>
    <row r="815" spans="1:7">
      <c r="A815" s="27"/>
      <c r="B815" s="108"/>
      <c r="C815" s="108"/>
      <c r="D815" s="108"/>
      <c r="E815" s="108"/>
      <c r="F815" s="108"/>
      <c r="G815" s="108"/>
    </row>
    <row r="816" spans="1:7">
      <c r="A816" s="27"/>
      <c r="B816" s="108"/>
      <c r="C816" s="108"/>
      <c r="D816" s="108"/>
      <c r="E816" s="108"/>
      <c r="F816" s="108"/>
      <c r="G816" s="108"/>
    </row>
    <row r="817" spans="1:7">
      <c r="A817" s="27"/>
      <c r="B817" s="108"/>
      <c r="C817" s="108"/>
      <c r="D817" s="108"/>
      <c r="E817" s="108"/>
      <c r="F817" s="108"/>
      <c r="G817" s="108"/>
    </row>
    <row r="818" spans="1:7">
      <c r="A818" s="27"/>
      <c r="B818" s="108"/>
      <c r="C818" s="108"/>
      <c r="D818" s="108"/>
      <c r="E818" s="108"/>
      <c r="F818" s="108"/>
      <c r="G818" s="108"/>
    </row>
    <row r="819" spans="1:7">
      <c r="A819" s="27"/>
      <c r="B819" s="108"/>
      <c r="C819" s="108"/>
      <c r="D819" s="108"/>
      <c r="E819" s="108"/>
      <c r="F819" s="108"/>
      <c r="G819" s="108"/>
    </row>
    <row r="820" spans="1:7">
      <c r="A820" s="27"/>
      <c r="B820" s="108"/>
      <c r="C820" s="108"/>
      <c r="D820" s="108"/>
      <c r="E820" s="108"/>
      <c r="F820" s="108"/>
      <c r="G820" s="108"/>
    </row>
    <row r="821" spans="1:7">
      <c r="A821" s="27"/>
      <c r="B821" s="108"/>
      <c r="C821" s="108"/>
      <c r="D821" s="108"/>
      <c r="E821" s="108"/>
      <c r="F821" s="108"/>
      <c r="G821" s="108"/>
    </row>
    <row r="822" spans="1:7">
      <c r="A822" s="27"/>
      <c r="B822" s="108"/>
      <c r="C822" s="108"/>
      <c r="D822" s="108"/>
      <c r="E822" s="108"/>
      <c r="F822" s="108"/>
      <c r="G822" s="108"/>
    </row>
    <row r="823" spans="1:7">
      <c r="A823" s="27"/>
      <c r="B823" s="108"/>
      <c r="C823" s="108"/>
      <c r="D823" s="108"/>
      <c r="E823" s="108"/>
      <c r="F823" s="108"/>
      <c r="G823" s="108"/>
    </row>
    <row r="824" spans="1:7">
      <c r="A824" s="27"/>
      <c r="B824" s="108"/>
      <c r="C824" s="108"/>
      <c r="D824" s="108"/>
      <c r="E824" s="108"/>
      <c r="F824" s="108"/>
      <c r="G824" s="108"/>
    </row>
    <row r="825" spans="1:7">
      <c r="A825" s="27"/>
      <c r="B825" s="108"/>
      <c r="C825" s="108"/>
      <c r="D825" s="108"/>
      <c r="E825" s="108"/>
      <c r="F825" s="108"/>
      <c r="G825" s="108"/>
    </row>
    <row r="826" spans="1:7">
      <c r="A826" s="27"/>
      <c r="B826" s="108"/>
      <c r="C826" s="108"/>
      <c r="D826" s="108"/>
      <c r="E826" s="108"/>
      <c r="F826" s="108"/>
      <c r="G826" s="108"/>
    </row>
    <row r="827" spans="1:7">
      <c r="A827" s="27"/>
      <c r="B827" s="108"/>
      <c r="C827" s="108"/>
      <c r="D827" s="108"/>
      <c r="E827" s="108"/>
      <c r="F827" s="108"/>
      <c r="G827" s="108"/>
    </row>
    <row r="828" spans="1:7">
      <c r="A828" s="27"/>
      <c r="B828" s="108"/>
      <c r="C828" s="108"/>
      <c r="D828" s="108"/>
      <c r="E828" s="108"/>
      <c r="F828" s="108"/>
      <c r="G828" s="108"/>
    </row>
    <row r="829" spans="1:7">
      <c r="A829" s="27"/>
      <c r="B829" s="108"/>
      <c r="C829" s="108"/>
      <c r="D829" s="108"/>
      <c r="E829" s="108"/>
      <c r="F829" s="108"/>
      <c r="G829" s="108"/>
    </row>
    <row r="830" spans="1:7">
      <c r="A830" s="27"/>
      <c r="B830" s="108"/>
      <c r="C830" s="108"/>
      <c r="D830" s="108"/>
      <c r="E830" s="108"/>
      <c r="F830" s="108"/>
      <c r="G830" s="108"/>
    </row>
    <row r="831" spans="1:7">
      <c r="A831" s="27"/>
      <c r="B831" s="108"/>
      <c r="C831" s="108"/>
      <c r="D831" s="108"/>
      <c r="E831" s="108"/>
      <c r="F831" s="108"/>
      <c r="G831" s="108"/>
    </row>
    <row r="832" spans="1:7">
      <c r="A832" s="27"/>
      <c r="B832" s="108"/>
      <c r="C832" s="108"/>
      <c r="D832" s="108"/>
      <c r="E832" s="108"/>
      <c r="F832" s="108"/>
      <c r="G832" s="108"/>
    </row>
    <row r="833" spans="1:7">
      <c r="A833" s="27"/>
      <c r="B833" s="108"/>
      <c r="C833" s="108"/>
      <c r="D833" s="108"/>
      <c r="E833" s="108"/>
      <c r="F833" s="108"/>
      <c r="G833" s="108"/>
    </row>
    <row r="834" spans="1:7">
      <c r="A834" s="27"/>
      <c r="B834" s="108"/>
      <c r="C834" s="108"/>
      <c r="D834" s="108"/>
      <c r="E834" s="108"/>
      <c r="F834" s="108"/>
      <c r="G834" s="108"/>
    </row>
    <row r="835" spans="1:7">
      <c r="A835" s="27"/>
      <c r="B835" s="108"/>
      <c r="C835" s="108"/>
      <c r="D835" s="108"/>
      <c r="E835" s="108"/>
      <c r="F835" s="108"/>
      <c r="G835" s="108"/>
    </row>
    <row r="836" spans="1:7">
      <c r="A836" s="27"/>
      <c r="B836" s="108"/>
      <c r="C836" s="108"/>
      <c r="D836" s="108"/>
      <c r="E836" s="108"/>
      <c r="F836" s="108"/>
      <c r="G836" s="108"/>
    </row>
    <row r="837" spans="1:7">
      <c r="A837" s="27"/>
      <c r="B837" s="108"/>
      <c r="C837" s="108"/>
      <c r="D837" s="108"/>
      <c r="E837" s="108"/>
      <c r="F837" s="108"/>
      <c r="G837" s="108"/>
    </row>
    <row r="838" spans="1:7">
      <c r="A838" s="27"/>
      <c r="B838" s="108"/>
      <c r="C838" s="108"/>
      <c r="D838" s="108"/>
      <c r="E838" s="108"/>
      <c r="F838" s="108"/>
      <c r="G838" s="108"/>
    </row>
    <row r="839" spans="1:7">
      <c r="A839" s="27"/>
      <c r="B839" s="108"/>
      <c r="C839" s="108"/>
      <c r="D839" s="108"/>
      <c r="E839" s="108"/>
      <c r="F839" s="108"/>
      <c r="G839" s="108"/>
    </row>
    <row r="840" spans="1:7">
      <c r="A840" s="27"/>
      <c r="B840" s="108"/>
      <c r="C840" s="108"/>
      <c r="D840" s="108"/>
      <c r="E840" s="108"/>
      <c r="F840" s="108"/>
      <c r="G840" s="108"/>
    </row>
    <row r="841" spans="1:7">
      <c r="A841" s="27"/>
      <c r="B841" s="108"/>
      <c r="C841" s="108"/>
      <c r="D841" s="108"/>
      <c r="E841" s="108"/>
      <c r="F841" s="108"/>
      <c r="G841" s="108"/>
    </row>
    <row r="842" spans="1:7">
      <c r="A842" s="27"/>
      <c r="B842" s="108"/>
      <c r="C842" s="108"/>
      <c r="D842" s="108"/>
      <c r="E842" s="108"/>
      <c r="F842" s="108"/>
      <c r="G842" s="108"/>
    </row>
    <row r="843" spans="1:7">
      <c r="A843" s="27"/>
      <c r="B843" s="108"/>
      <c r="C843" s="108"/>
      <c r="D843" s="108"/>
      <c r="E843" s="108"/>
      <c r="F843" s="108"/>
      <c r="G843" s="108"/>
    </row>
    <row r="844" spans="1:7">
      <c r="A844" s="27"/>
      <c r="B844" s="108"/>
      <c r="C844" s="108"/>
      <c r="D844" s="108"/>
      <c r="E844" s="108"/>
      <c r="F844" s="108"/>
      <c r="G844" s="108"/>
    </row>
    <row r="845" spans="1:7">
      <c r="A845" s="27"/>
      <c r="B845" s="108"/>
      <c r="C845" s="108"/>
      <c r="D845" s="108"/>
      <c r="E845" s="108"/>
      <c r="F845" s="108"/>
      <c r="G845" s="108"/>
    </row>
    <row r="846" spans="1:7">
      <c r="A846" s="27"/>
      <c r="B846" s="108"/>
      <c r="C846" s="108"/>
      <c r="D846" s="108"/>
      <c r="E846" s="108"/>
      <c r="F846" s="108"/>
      <c r="G846" s="108"/>
    </row>
    <row r="847" spans="1:7">
      <c r="A847" s="27"/>
      <c r="B847" s="108"/>
      <c r="C847" s="108"/>
      <c r="D847" s="108"/>
      <c r="E847" s="108"/>
      <c r="F847" s="108"/>
      <c r="G847" s="108"/>
    </row>
    <row r="848" spans="1:7">
      <c r="A848" s="27"/>
      <c r="B848" s="108"/>
      <c r="C848" s="108"/>
      <c r="D848" s="108"/>
      <c r="E848" s="108"/>
      <c r="F848" s="108"/>
      <c r="G848" s="108"/>
    </row>
    <row r="849" spans="1:7">
      <c r="A849" s="27"/>
      <c r="B849" s="108"/>
      <c r="C849" s="108"/>
      <c r="D849" s="108"/>
      <c r="E849" s="108"/>
      <c r="F849" s="108"/>
      <c r="G849" s="108"/>
    </row>
    <row r="850" spans="1:7">
      <c r="A850" s="27"/>
      <c r="B850" s="108"/>
      <c r="C850" s="108"/>
      <c r="D850" s="108"/>
      <c r="E850" s="108"/>
      <c r="F850" s="108"/>
      <c r="G850" s="108"/>
    </row>
    <row r="851" spans="1:7">
      <c r="A851" s="27"/>
      <c r="B851" s="108"/>
      <c r="C851" s="108"/>
      <c r="D851" s="108"/>
      <c r="E851" s="108"/>
      <c r="F851" s="108"/>
      <c r="G851" s="108"/>
    </row>
    <row r="852" spans="1:7">
      <c r="A852" s="27"/>
      <c r="B852" s="108"/>
      <c r="C852" s="108"/>
      <c r="D852" s="108"/>
      <c r="E852" s="108"/>
      <c r="F852" s="108"/>
      <c r="G852" s="108"/>
    </row>
    <row r="853" spans="1:7">
      <c r="A853" s="27"/>
      <c r="B853" s="108"/>
      <c r="C853" s="108"/>
      <c r="D853" s="108"/>
      <c r="E853" s="108"/>
      <c r="F853" s="108"/>
      <c r="G853" s="108"/>
    </row>
    <row r="854" spans="1:7">
      <c r="A854" s="27"/>
      <c r="B854" s="108"/>
      <c r="C854" s="108"/>
      <c r="D854" s="108"/>
      <c r="E854" s="108"/>
      <c r="F854" s="108"/>
      <c r="G854" s="108"/>
    </row>
    <row r="855" spans="1:7">
      <c r="A855" s="27"/>
      <c r="B855" s="108"/>
      <c r="C855" s="108"/>
      <c r="D855" s="108"/>
      <c r="E855" s="108"/>
      <c r="F855" s="108"/>
      <c r="G855" s="108"/>
    </row>
    <row r="856" spans="1:7">
      <c r="A856" s="27"/>
      <c r="B856" s="108"/>
      <c r="C856" s="108"/>
      <c r="D856" s="108"/>
      <c r="E856" s="108"/>
      <c r="F856" s="108"/>
      <c r="G856" s="108"/>
    </row>
    <row r="857" spans="1:7">
      <c r="A857" s="27"/>
      <c r="B857" s="108"/>
      <c r="C857" s="108"/>
      <c r="D857" s="108"/>
      <c r="E857" s="108"/>
      <c r="F857" s="108"/>
      <c r="G857" s="108"/>
    </row>
    <row r="858" spans="1:7">
      <c r="A858" s="27"/>
      <c r="B858" s="108"/>
      <c r="C858" s="108"/>
      <c r="D858" s="108"/>
      <c r="E858" s="108"/>
      <c r="F858" s="108"/>
      <c r="G858" s="108"/>
    </row>
    <row r="859" spans="1:7">
      <c r="A859" s="27"/>
      <c r="B859" s="108"/>
      <c r="C859" s="108"/>
      <c r="D859" s="108"/>
      <c r="E859" s="108"/>
      <c r="F859" s="108"/>
      <c r="G859" s="108"/>
    </row>
    <row r="860" spans="1:7">
      <c r="A860" s="27"/>
      <c r="B860" s="108"/>
      <c r="C860" s="108"/>
      <c r="D860" s="108"/>
      <c r="E860" s="108"/>
      <c r="F860" s="108"/>
      <c r="G860" s="108"/>
    </row>
    <row r="861" spans="1:7">
      <c r="A861" s="27"/>
      <c r="B861" s="108"/>
      <c r="C861" s="108"/>
      <c r="D861" s="108"/>
      <c r="E861" s="108"/>
      <c r="F861" s="108"/>
      <c r="G861" s="108"/>
    </row>
    <row r="862" spans="1:7">
      <c r="A862" s="27"/>
      <c r="B862" s="108"/>
      <c r="C862" s="108"/>
      <c r="D862" s="108"/>
      <c r="E862" s="108"/>
      <c r="F862" s="108"/>
      <c r="G862" s="108"/>
    </row>
    <row r="863" spans="1:7">
      <c r="A863" s="27"/>
      <c r="B863" s="108"/>
      <c r="C863" s="108"/>
      <c r="D863" s="108"/>
      <c r="E863" s="108"/>
      <c r="F863" s="108"/>
      <c r="G863" s="108"/>
    </row>
    <row r="864" spans="1:7">
      <c r="A864" s="27"/>
      <c r="B864" s="108"/>
      <c r="C864" s="108"/>
      <c r="D864" s="108"/>
      <c r="E864" s="108"/>
      <c r="F864" s="108"/>
      <c r="G864" s="108"/>
    </row>
    <row r="865" spans="1:7">
      <c r="A865" s="27"/>
      <c r="B865" s="108"/>
      <c r="C865" s="108"/>
      <c r="D865" s="108"/>
      <c r="E865" s="108"/>
      <c r="F865" s="108"/>
      <c r="G865" s="108"/>
    </row>
    <row r="866" spans="1:7">
      <c r="A866" s="27"/>
      <c r="B866" s="108"/>
      <c r="C866" s="108"/>
      <c r="D866" s="108"/>
      <c r="E866" s="108"/>
      <c r="F866" s="108"/>
      <c r="G866" s="108"/>
    </row>
    <row r="867" spans="1:7">
      <c r="A867" s="27"/>
      <c r="B867" s="108"/>
      <c r="C867" s="108"/>
      <c r="D867" s="108"/>
      <c r="E867" s="108"/>
      <c r="F867" s="108"/>
      <c r="G867" s="108"/>
    </row>
    <row r="868" spans="1:7">
      <c r="A868" s="27"/>
      <c r="B868" s="108"/>
      <c r="C868" s="108"/>
      <c r="D868" s="108"/>
      <c r="E868" s="108"/>
      <c r="F868" s="108"/>
      <c r="G868" s="108"/>
    </row>
    <row r="869" spans="1:7">
      <c r="A869" s="27"/>
      <c r="B869" s="108"/>
      <c r="C869" s="108"/>
      <c r="D869" s="108"/>
      <c r="E869" s="108"/>
      <c r="F869" s="108"/>
      <c r="G869" s="108"/>
    </row>
    <row r="870" spans="1:7">
      <c r="A870" s="27"/>
      <c r="B870" s="108"/>
      <c r="C870" s="108"/>
      <c r="D870" s="108"/>
      <c r="E870" s="108"/>
      <c r="F870" s="108"/>
      <c r="G870" s="108"/>
    </row>
    <row r="871" spans="1:7">
      <c r="A871" s="27"/>
      <c r="B871" s="108"/>
      <c r="C871" s="108"/>
      <c r="D871" s="108"/>
      <c r="E871" s="108"/>
      <c r="F871" s="108"/>
      <c r="G871" s="108"/>
    </row>
    <row r="872" spans="1:7">
      <c r="A872" s="27"/>
      <c r="B872" s="108"/>
      <c r="C872" s="108"/>
      <c r="D872" s="108"/>
      <c r="E872" s="108"/>
      <c r="F872" s="108"/>
      <c r="G872" s="108"/>
    </row>
    <row r="873" spans="1:7">
      <c r="A873" s="27"/>
      <c r="B873" s="108"/>
      <c r="C873" s="108"/>
      <c r="D873" s="108"/>
      <c r="E873" s="108"/>
      <c r="F873" s="108"/>
      <c r="G873" s="108"/>
    </row>
    <row r="874" spans="1:7">
      <c r="A874" s="27"/>
      <c r="B874" s="108"/>
      <c r="C874" s="108"/>
      <c r="D874" s="108"/>
      <c r="E874" s="108"/>
      <c r="F874" s="108"/>
      <c r="G874" s="108"/>
    </row>
    <row r="875" spans="1:7">
      <c r="A875" s="27"/>
      <c r="B875" s="108"/>
      <c r="C875" s="108"/>
      <c r="D875" s="108"/>
      <c r="E875" s="108"/>
      <c r="F875" s="108"/>
      <c r="G875" s="108"/>
    </row>
    <row r="876" spans="1:7">
      <c r="A876" s="27"/>
      <c r="B876" s="108"/>
      <c r="C876" s="108"/>
      <c r="D876" s="108"/>
      <c r="E876" s="108"/>
      <c r="F876" s="108"/>
      <c r="G876" s="108"/>
    </row>
    <row r="877" spans="1:7">
      <c r="A877" s="27"/>
      <c r="B877" s="108"/>
      <c r="C877" s="108"/>
      <c r="D877" s="108"/>
      <c r="E877" s="108"/>
      <c r="F877" s="108"/>
      <c r="G877" s="108"/>
    </row>
    <row r="878" spans="1:7">
      <c r="A878" s="27"/>
      <c r="B878" s="108"/>
      <c r="C878" s="108"/>
      <c r="D878" s="108"/>
      <c r="E878" s="108"/>
      <c r="F878" s="108"/>
      <c r="G878" s="108"/>
    </row>
    <row r="879" spans="1:7">
      <c r="A879" s="27"/>
      <c r="B879" s="108"/>
      <c r="C879" s="108"/>
      <c r="D879" s="108"/>
      <c r="E879" s="108"/>
      <c r="F879" s="108"/>
      <c r="G879" s="108"/>
    </row>
    <row r="880" spans="1:7">
      <c r="A880" s="27"/>
      <c r="B880" s="108"/>
      <c r="C880" s="108"/>
      <c r="D880" s="108"/>
      <c r="E880" s="108"/>
      <c r="F880" s="108"/>
      <c r="G880" s="108"/>
    </row>
    <row r="881" spans="1:7">
      <c r="A881" s="27"/>
      <c r="B881" s="108"/>
      <c r="C881" s="108"/>
      <c r="D881" s="108"/>
      <c r="E881" s="108"/>
      <c r="F881" s="108"/>
      <c r="G881" s="108"/>
    </row>
    <row r="882" spans="1:7">
      <c r="A882" s="27"/>
      <c r="B882" s="108"/>
      <c r="C882" s="108"/>
      <c r="D882" s="108"/>
      <c r="E882" s="108"/>
      <c r="F882" s="108"/>
      <c r="G882" s="108"/>
    </row>
    <row r="883" spans="1:7">
      <c r="A883" s="27"/>
      <c r="B883" s="108"/>
      <c r="C883" s="108"/>
      <c r="D883" s="108"/>
      <c r="E883" s="108"/>
      <c r="F883" s="108"/>
      <c r="G883" s="108"/>
    </row>
    <row r="884" spans="1:7">
      <c r="A884" s="27"/>
      <c r="B884" s="108"/>
      <c r="C884" s="108"/>
      <c r="D884" s="108"/>
      <c r="E884" s="108"/>
      <c r="F884" s="108"/>
      <c r="G884" s="108"/>
    </row>
    <row r="885" spans="1:7">
      <c r="A885" s="27"/>
      <c r="B885" s="108"/>
      <c r="C885" s="108"/>
      <c r="D885" s="108"/>
      <c r="E885" s="108"/>
      <c r="F885" s="108"/>
      <c r="G885" s="108"/>
    </row>
    <row r="886" spans="1:7">
      <c r="A886" s="27"/>
      <c r="B886" s="108"/>
      <c r="C886" s="108"/>
      <c r="D886" s="108"/>
      <c r="E886" s="108"/>
      <c r="F886" s="108"/>
      <c r="G886" s="108"/>
    </row>
    <row r="887" spans="1:7">
      <c r="A887" s="27"/>
      <c r="B887" s="108"/>
      <c r="C887" s="108"/>
      <c r="D887" s="108"/>
      <c r="E887" s="108"/>
      <c r="F887" s="108"/>
      <c r="G887" s="108"/>
    </row>
    <row r="888" spans="1:7">
      <c r="A888" s="27"/>
      <c r="B888" s="108"/>
      <c r="C888" s="108"/>
      <c r="D888" s="108"/>
      <c r="E888" s="108"/>
      <c r="F888" s="108"/>
      <c r="G888" s="108"/>
    </row>
    <row r="889" spans="1:7">
      <c r="A889" s="27"/>
      <c r="B889" s="108"/>
      <c r="C889" s="108"/>
      <c r="D889" s="108"/>
      <c r="E889" s="108"/>
      <c r="F889" s="108"/>
      <c r="G889" s="108"/>
    </row>
    <row r="890" spans="1:7">
      <c r="A890" s="27"/>
      <c r="B890" s="108"/>
      <c r="C890" s="108"/>
      <c r="D890" s="108"/>
      <c r="E890" s="108"/>
      <c r="F890" s="108"/>
      <c r="G890" s="108"/>
    </row>
    <row r="891" spans="1:7">
      <c r="A891" s="27"/>
      <c r="B891" s="108"/>
      <c r="C891" s="108"/>
      <c r="D891" s="108"/>
      <c r="E891" s="108"/>
      <c r="F891" s="108"/>
      <c r="G891" s="108"/>
    </row>
    <row r="892" spans="1:7">
      <c r="A892" s="27"/>
      <c r="B892" s="108"/>
      <c r="C892" s="108"/>
      <c r="D892" s="108"/>
      <c r="E892" s="108"/>
      <c r="F892" s="108"/>
      <c r="G892" s="108"/>
    </row>
    <row r="893" spans="1:7">
      <c r="A893" s="27"/>
      <c r="B893" s="108"/>
      <c r="C893" s="108"/>
      <c r="D893" s="108"/>
      <c r="E893" s="108"/>
      <c r="F893" s="108"/>
      <c r="G893" s="108"/>
    </row>
    <row r="894" spans="1:7">
      <c r="A894" s="27"/>
      <c r="B894" s="108"/>
      <c r="C894" s="108"/>
      <c r="D894" s="108"/>
      <c r="E894" s="108"/>
      <c r="F894" s="108"/>
      <c r="G894" s="108"/>
    </row>
    <row r="895" spans="1:7">
      <c r="A895" s="27"/>
      <c r="B895" s="108"/>
      <c r="C895" s="108"/>
      <c r="D895" s="108"/>
      <c r="E895" s="108"/>
      <c r="F895" s="108"/>
      <c r="G895" s="108"/>
    </row>
    <row r="896" spans="1:7">
      <c r="A896" s="27"/>
      <c r="B896" s="108"/>
      <c r="C896" s="108"/>
      <c r="D896" s="108"/>
      <c r="E896" s="108"/>
      <c r="F896" s="108"/>
      <c r="G896" s="108"/>
    </row>
    <row r="897" spans="1:7">
      <c r="A897" s="27"/>
      <c r="B897" s="108"/>
      <c r="C897" s="108"/>
      <c r="D897" s="108"/>
      <c r="E897" s="108"/>
      <c r="F897" s="108"/>
      <c r="G897" s="108"/>
    </row>
    <row r="898" spans="1:7">
      <c r="A898" s="27"/>
      <c r="B898" s="108"/>
      <c r="C898" s="108"/>
      <c r="D898" s="108"/>
      <c r="E898" s="108"/>
      <c r="F898" s="108"/>
      <c r="G898" s="108"/>
    </row>
    <row r="899" spans="1:7">
      <c r="A899" s="27"/>
      <c r="B899" s="108"/>
      <c r="C899" s="108"/>
      <c r="D899" s="108"/>
      <c r="E899" s="108"/>
      <c r="F899" s="108"/>
      <c r="G899" s="108"/>
    </row>
    <row r="900" spans="1:7">
      <c r="A900" s="27"/>
      <c r="B900" s="108"/>
      <c r="C900" s="108"/>
      <c r="D900" s="108"/>
      <c r="E900" s="108"/>
      <c r="F900" s="108"/>
      <c r="G900" s="108"/>
    </row>
    <row r="901" spans="1:7">
      <c r="A901" s="27"/>
      <c r="B901" s="108"/>
      <c r="C901" s="108"/>
      <c r="D901" s="108"/>
      <c r="E901" s="108"/>
      <c r="F901" s="108"/>
      <c r="G901" s="108"/>
    </row>
    <row r="902" spans="1:7">
      <c r="A902" s="27"/>
      <c r="B902" s="108"/>
      <c r="C902" s="108"/>
      <c r="D902" s="108"/>
      <c r="E902" s="108"/>
      <c r="F902" s="108"/>
      <c r="G902" s="108"/>
    </row>
    <row r="903" spans="1:7">
      <c r="A903" s="27"/>
      <c r="B903" s="108"/>
      <c r="C903" s="108"/>
      <c r="D903" s="108"/>
      <c r="E903" s="108"/>
      <c r="F903" s="108"/>
      <c r="G903" s="108"/>
    </row>
    <row r="904" spans="1:7">
      <c r="A904" s="27"/>
      <c r="B904" s="108"/>
      <c r="C904" s="108"/>
      <c r="D904" s="108"/>
      <c r="E904" s="108"/>
      <c r="F904" s="108"/>
      <c r="G904" s="108"/>
    </row>
    <row r="905" spans="1:7">
      <c r="A905" s="27"/>
      <c r="B905" s="108"/>
      <c r="C905" s="108"/>
      <c r="D905" s="108"/>
      <c r="E905" s="108"/>
      <c r="F905" s="108"/>
      <c r="G905" s="108"/>
    </row>
    <row r="906" spans="1:7">
      <c r="A906" s="27"/>
      <c r="B906" s="108"/>
      <c r="C906" s="108"/>
      <c r="D906" s="108"/>
      <c r="E906" s="108"/>
      <c r="F906" s="108"/>
      <c r="G906" s="108"/>
    </row>
    <row r="907" spans="1:7">
      <c r="A907" s="27"/>
      <c r="B907" s="108"/>
      <c r="C907" s="108"/>
      <c r="D907" s="108"/>
      <c r="E907" s="108"/>
      <c r="F907" s="108"/>
      <c r="G907" s="108"/>
    </row>
    <row r="908" spans="1:7">
      <c r="A908" s="27"/>
      <c r="B908" s="108"/>
      <c r="C908" s="108"/>
      <c r="D908" s="108"/>
      <c r="E908" s="108"/>
      <c r="F908" s="108"/>
      <c r="G908" s="108"/>
    </row>
    <row r="909" spans="1:7">
      <c r="A909" s="27"/>
      <c r="B909" s="108"/>
      <c r="C909" s="108"/>
      <c r="D909" s="108"/>
      <c r="E909" s="108"/>
      <c r="F909" s="108"/>
      <c r="G909" s="108"/>
    </row>
    <row r="910" spans="1:7">
      <c r="A910" s="27"/>
      <c r="B910" s="108"/>
      <c r="C910" s="108"/>
      <c r="D910" s="108"/>
      <c r="E910" s="108"/>
      <c r="F910" s="108"/>
      <c r="G910" s="108"/>
    </row>
    <row r="911" spans="1:7">
      <c r="A911" s="27"/>
      <c r="B911" s="108"/>
      <c r="C911" s="108"/>
      <c r="D911" s="108"/>
      <c r="E911" s="108"/>
      <c r="F911" s="108"/>
      <c r="G911" s="108"/>
    </row>
    <row r="912" spans="1:7">
      <c r="A912" s="27"/>
      <c r="B912" s="108"/>
      <c r="C912" s="108"/>
      <c r="D912" s="108"/>
      <c r="E912" s="108"/>
      <c r="F912" s="108"/>
      <c r="G912" s="108"/>
    </row>
    <row r="913" spans="1:7">
      <c r="A913" s="27"/>
      <c r="B913" s="108"/>
      <c r="C913" s="108"/>
      <c r="D913" s="108"/>
      <c r="E913" s="108"/>
      <c r="F913" s="108"/>
      <c r="G913" s="108"/>
    </row>
    <row r="914" spans="1:7">
      <c r="A914" s="27"/>
      <c r="B914" s="108"/>
      <c r="C914" s="108"/>
      <c r="D914" s="108"/>
      <c r="E914" s="108"/>
      <c r="F914" s="108"/>
      <c r="G914" s="108"/>
    </row>
    <row r="915" spans="1:7">
      <c r="A915" s="27"/>
      <c r="B915" s="108"/>
      <c r="C915" s="108"/>
      <c r="D915" s="108"/>
      <c r="E915" s="108"/>
      <c r="F915" s="108"/>
      <c r="G915" s="108"/>
    </row>
    <row r="916" spans="1:7">
      <c r="A916" s="27"/>
      <c r="B916" s="108"/>
      <c r="C916" s="108"/>
      <c r="D916" s="108"/>
      <c r="E916" s="108"/>
      <c r="F916" s="108"/>
      <c r="G916" s="108"/>
    </row>
    <row r="917" spans="1:7">
      <c r="A917" s="27"/>
      <c r="B917" s="108"/>
      <c r="C917" s="108"/>
      <c r="D917" s="108"/>
      <c r="E917" s="108"/>
      <c r="F917" s="108"/>
      <c r="G917" s="108"/>
    </row>
    <row r="918" spans="1:7">
      <c r="A918" s="27"/>
      <c r="B918" s="108"/>
      <c r="C918" s="108"/>
      <c r="D918" s="108"/>
      <c r="E918" s="108"/>
      <c r="F918" s="108"/>
      <c r="G918" s="108"/>
    </row>
    <row r="919" spans="1:7">
      <c r="A919" s="27"/>
      <c r="B919" s="108"/>
      <c r="C919" s="108"/>
      <c r="D919" s="108"/>
      <c r="E919" s="108"/>
      <c r="F919" s="108"/>
      <c r="G919" s="108"/>
    </row>
    <row r="920" spans="1:7">
      <c r="A920" s="27"/>
      <c r="B920" s="108"/>
      <c r="C920" s="108"/>
      <c r="D920" s="108"/>
      <c r="E920" s="108"/>
      <c r="F920" s="108"/>
      <c r="G920" s="108"/>
    </row>
    <row r="921" spans="1:7">
      <c r="A921" s="27"/>
      <c r="B921" s="108"/>
      <c r="C921" s="108"/>
      <c r="D921" s="108"/>
      <c r="E921" s="108"/>
      <c r="F921" s="108"/>
      <c r="G921" s="108"/>
    </row>
    <row r="922" spans="1:7">
      <c r="A922" s="27"/>
      <c r="B922" s="108"/>
      <c r="C922" s="108"/>
      <c r="D922" s="108"/>
      <c r="E922" s="108"/>
      <c r="F922" s="108"/>
      <c r="G922" s="108"/>
    </row>
    <row r="923" spans="1:7">
      <c r="A923" s="27"/>
      <c r="B923" s="108"/>
      <c r="C923" s="108"/>
      <c r="D923" s="108"/>
      <c r="E923" s="108"/>
      <c r="F923" s="108"/>
      <c r="G923" s="108"/>
    </row>
    <row r="924" spans="1:7">
      <c r="A924" s="27"/>
      <c r="B924" s="108"/>
      <c r="C924" s="108"/>
      <c r="D924" s="108"/>
      <c r="E924" s="108"/>
      <c r="F924" s="108"/>
      <c r="G924" s="108"/>
    </row>
    <row r="925" spans="1:7">
      <c r="A925" s="27"/>
      <c r="B925" s="108"/>
      <c r="C925" s="108"/>
      <c r="D925" s="108"/>
      <c r="E925" s="108"/>
      <c r="F925" s="108"/>
      <c r="G925" s="108"/>
    </row>
    <row r="926" spans="1:7">
      <c r="A926" s="27"/>
      <c r="B926" s="108"/>
      <c r="C926" s="108"/>
      <c r="D926" s="108"/>
      <c r="E926" s="108"/>
      <c r="F926" s="108"/>
      <c r="G926" s="108"/>
    </row>
    <row r="927" spans="1:7">
      <c r="A927" s="27"/>
      <c r="B927" s="108"/>
      <c r="C927" s="108"/>
      <c r="D927" s="108"/>
      <c r="E927" s="108"/>
      <c r="F927" s="108"/>
      <c r="G927" s="108"/>
    </row>
    <row r="928" spans="1:7">
      <c r="A928" s="27"/>
      <c r="B928" s="108"/>
      <c r="C928" s="108"/>
      <c r="D928" s="108"/>
      <c r="E928" s="108"/>
      <c r="F928" s="108"/>
      <c r="G928" s="108"/>
    </row>
    <row r="929" spans="1:7">
      <c r="A929" s="27"/>
      <c r="B929" s="108"/>
      <c r="C929" s="108"/>
      <c r="D929" s="108"/>
      <c r="E929" s="108"/>
      <c r="F929" s="108"/>
      <c r="G929" s="108"/>
    </row>
    <row r="930" spans="1:7">
      <c r="A930" s="27"/>
      <c r="B930" s="108"/>
      <c r="C930" s="108"/>
      <c r="D930" s="108"/>
      <c r="E930" s="108"/>
      <c r="F930" s="108"/>
      <c r="G930" s="108"/>
    </row>
    <row r="931" spans="1:7">
      <c r="A931" s="27"/>
      <c r="B931" s="108"/>
      <c r="C931" s="108"/>
      <c r="D931" s="108"/>
      <c r="E931" s="108"/>
      <c r="F931" s="108"/>
      <c r="G931" s="108"/>
    </row>
    <row r="932" spans="1:7">
      <c r="A932" s="27"/>
      <c r="B932" s="108"/>
      <c r="C932" s="108"/>
      <c r="D932" s="108"/>
      <c r="E932" s="108"/>
      <c r="F932" s="108"/>
      <c r="G932" s="108"/>
    </row>
    <row r="933" spans="1:7">
      <c r="A933" s="27"/>
      <c r="B933" s="108"/>
      <c r="C933" s="108"/>
      <c r="D933" s="108"/>
      <c r="E933" s="108"/>
      <c r="F933" s="108"/>
      <c r="G933" s="108"/>
    </row>
    <row r="934" spans="1:7">
      <c r="A934" s="27"/>
      <c r="B934" s="108"/>
      <c r="C934" s="108"/>
      <c r="D934" s="108"/>
      <c r="E934" s="108"/>
      <c r="F934" s="108"/>
      <c r="G934" s="108"/>
    </row>
    <row r="935" spans="1:7">
      <c r="A935" s="27"/>
      <c r="B935" s="108"/>
      <c r="C935" s="108"/>
      <c r="D935" s="108"/>
      <c r="E935" s="108"/>
      <c r="F935" s="108"/>
      <c r="G935" s="108"/>
    </row>
    <row r="936" spans="1:7">
      <c r="A936" s="27"/>
      <c r="B936" s="108"/>
      <c r="C936" s="108"/>
      <c r="D936" s="108"/>
      <c r="E936" s="108"/>
      <c r="F936" s="108"/>
      <c r="G936" s="108"/>
    </row>
    <row r="937" spans="1:7">
      <c r="A937" s="27"/>
      <c r="B937" s="108"/>
      <c r="C937" s="108"/>
      <c r="D937" s="108"/>
      <c r="E937" s="108"/>
      <c r="F937" s="108"/>
      <c r="G937" s="108"/>
    </row>
    <row r="938" spans="1:7">
      <c r="A938" s="27"/>
      <c r="B938" s="108"/>
      <c r="C938" s="108"/>
      <c r="D938" s="108"/>
      <c r="E938" s="108"/>
      <c r="F938" s="108"/>
      <c r="G938" s="108"/>
    </row>
    <row r="939" spans="1:7">
      <c r="A939" s="27"/>
      <c r="B939" s="108"/>
      <c r="C939" s="108"/>
      <c r="D939" s="108"/>
      <c r="E939" s="108"/>
      <c r="F939" s="108"/>
      <c r="G939" s="108"/>
    </row>
    <row r="940" spans="1:7">
      <c r="A940" s="27"/>
      <c r="B940" s="108"/>
      <c r="C940" s="108"/>
      <c r="D940" s="108"/>
      <c r="E940" s="108"/>
      <c r="F940" s="108"/>
      <c r="G940" s="108"/>
    </row>
    <row r="941" spans="1:7">
      <c r="A941" s="27"/>
      <c r="B941" s="108"/>
      <c r="C941" s="108"/>
      <c r="D941" s="108"/>
      <c r="E941" s="108"/>
      <c r="F941" s="108"/>
      <c r="G941" s="108"/>
    </row>
    <row r="942" spans="1:7">
      <c r="A942" s="27"/>
      <c r="B942" s="108"/>
      <c r="C942" s="108"/>
      <c r="D942" s="108"/>
      <c r="E942" s="108"/>
      <c r="F942" s="108"/>
      <c r="G942" s="108"/>
    </row>
    <row r="943" spans="1:7">
      <c r="A943" s="27"/>
      <c r="B943" s="108"/>
      <c r="C943" s="108"/>
      <c r="D943" s="108"/>
      <c r="E943" s="108"/>
      <c r="F943" s="108"/>
      <c r="G943" s="108"/>
    </row>
    <row r="944" spans="1:7">
      <c r="A944" s="27"/>
      <c r="B944" s="108"/>
      <c r="C944" s="108"/>
      <c r="D944" s="108"/>
      <c r="E944" s="108"/>
      <c r="F944" s="108"/>
      <c r="G944" s="108"/>
    </row>
    <row r="945" spans="1:7">
      <c r="A945" s="27"/>
      <c r="B945" s="108"/>
      <c r="C945" s="108"/>
      <c r="D945" s="108"/>
      <c r="E945" s="108"/>
      <c r="F945" s="108"/>
      <c r="G945" s="108"/>
    </row>
    <row r="946" spans="1:7">
      <c r="A946" s="27"/>
      <c r="B946" s="108"/>
      <c r="C946" s="108"/>
      <c r="D946" s="108"/>
      <c r="E946" s="108"/>
      <c r="F946" s="108"/>
      <c r="G946" s="108"/>
    </row>
    <row r="947" spans="1:7">
      <c r="A947" s="27"/>
      <c r="B947" s="108"/>
      <c r="C947" s="108"/>
      <c r="D947" s="108"/>
      <c r="E947" s="108"/>
      <c r="F947" s="108"/>
      <c r="G947" s="108"/>
    </row>
    <row r="948" spans="1:7">
      <c r="A948" s="27"/>
      <c r="B948" s="108"/>
      <c r="C948" s="108"/>
      <c r="D948" s="108"/>
      <c r="E948" s="108"/>
      <c r="F948" s="108"/>
      <c r="G948" s="108"/>
    </row>
    <row r="949" spans="1:7">
      <c r="A949" s="27"/>
      <c r="B949" s="108"/>
      <c r="C949" s="108"/>
      <c r="D949" s="108"/>
      <c r="E949" s="108"/>
      <c r="F949" s="108"/>
      <c r="G949" s="108"/>
    </row>
    <row r="950" spans="1:7">
      <c r="A950" s="27"/>
      <c r="B950" s="108"/>
      <c r="C950" s="108"/>
      <c r="D950" s="108"/>
      <c r="E950" s="108"/>
      <c r="F950" s="108"/>
      <c r="G950" s="108"/>
    </row>
    <row r="951" spans="1:7">
      <c r="A951" s="27"/>
      <c r="B951" s="108"/>
      <c r="C951" s="108"/>
      <c r="D951" s="108"/>
      <c r="E951" s="108"/>
      <c r="F951" s="108"/>
      <c r="G951" s="108"/>
    </row>
    <row r="952" spans="1:7">
      <c r="A952" s="27"/>
      <c r="B952" s="108"/>
      <c r="C952" s="108"/>
      <c r="D952" s="108"/>
      <c r="E952" s="108"/>
      <c r="F952" s="108"/>
      <c r="G952" s="108"/>
    </row>
    <row r="953" spans="1:7">
      <c r="A953" s="27"/>
      <c r="B953" s="108"/>
      <c r="C953" s="108"/>
      <c r="D953" s="108"/>
      <c r="E953" s="108"/>
      <c r="F953" s="108"/>
      <c r="G953" s="108"/>
    </row>
    <row r="954" spans="1:7">
      <c r="A954" s="27"/>
      <c r="B954" s="108"/>
      <c r="C954" s="108"/>
      <c r="D954" s="108"/>
      <c r="E954" s="108"/>
      <c r="F954" s="108"/>
      <c r="G954" s="108"/>
    </row>
    <row r="955" spans="1:7">
      <c r="A955" s="27"/>
      <c r="B955" s="108"/>
      <c r="C955" s="108"/>
      <c r="D955" s="108"/>
      <c r="E955" s="108"/>
      <c r="F955" s="108"/>
      <c r="G955" s="108"/>
    </row>
    <row r="956" spans="1:7">
      <c r="A956" s="27"/>
      <c r="B956" s="108"/>
      <c r="C956" s="108"/>
      <c r="D956" s="108"/>
      <c r="E956" s="108"/>
      <c r="F956" s="108"/>
      <c r="G956" s="108"/>
    </row>
    <row r="957" spans="1:7">
      <c r="A957" s="27"/>
      <c r="B957" s="108"/>
      <c r="C957" s="108"/>
      <c r="D957" s="108"/>
      <c r="E957" s="108"/>
      <c r="F957" s="108"/>
      <c r="G957" s="108"/>
    </row>
    <row r="958" spans="1:7">
      <c r="A958" s="27"/>
      <c r="B958" s="108"/>
      <c r="C958" s="108"/>
      <c r="D958" s="108"/>
      <c r="E958" s="108"/>
      <c r="F958" s="108"/>
      <c r="G958" s="108"/>
    </row>
    <row r="959" spans="1:7">
      <c r="A959" s="27"/>
      <c r="B959" s="108"/>
      <c r="C959" s="108"/>
      <c r="D959" s="108"/>
      <c r="E959" s="108"/>
      <c r="F959" s="108"/>
      <c r="G959" s="108"/>
    </row>
    <row r="960" spans="1:7">
      <c r="A960" s="27"/>
      <c r="B960" s="108"/>
      <c r="C960" s="108"/>
      <c r="D960" s="108"/>
      <c r="E960" s="108"/>
      <c r="F960" s="108"/>
      <c r="G960" s="108"/>
    </row>
    <row r="961" spans="1:7">
      <c r="A961" s="27"/>
      <c r="B961" s="108"/>
      <c r="C961" s="108"/>
      <c r="D961" s="108"/>
      <c r="E961" s="108"/>
      <c r="F961" s="108"/>
      <c r="G961" s="108"/>
    </row>
    <row r="962" spans="1:7">
      <c r="A962" s="27"/>
      <c r="B962" s="108"/>
      <c r="C962" s="108"/>
      <c r="D962" s="108"/>
      <c r="E962" s="108"/>
      <c r="F962" s="108"/>
      <c r="G962" s="108"/>
    </row>
    <row r="963" spans="1:7">
      <c r="A963" s="27"/>
      <c r="B963" s="108"/>
      <c r="C963" s="108"/>
      <c r="D963" s="108"/>
      <c r="E963" s="108"/>
      <c r="F963" s="108"/>
      <c r="G963" s="108"/>
    </row>
    <row r="964" spans="1:7">
      <c r="A964" s="27"/>
      <c r="B964" s="108"/>
      <c r="C964" s="108"/>
      <c r="D964" s="108"/>
      <c r="E964" s="108"/>
      <c r="F964" s="108"/>
      <c r="G964" s="108"/>
    </row>
    <row r="965" spans="1:7">
      <c r="A965" s="27"/>
      <c r="B965" s="108"/>
      <c r="C965" s="108"/>
      <c r="D965" s="108"/>
      <c r="E965" s="108"/>
      <c r="F965" s="108"/>
      <c r="G965" s="108"/>
    </row>
    <row r="966" spans="1:7">
      <c r="A966" s="27"/>
      <c r="B966" s="108"/>
      <c r="C966" s="108"/>
      <c r="D966" s="108"/>
      <c r="E966" s="108"/>
      <c r="F966" s="108"/>
      <c r="G966" s="108"/>
    </row>
    <row r="967" spans="1:7">
      <c r="A967" s="27"/>
      <c r="B967" s="108"/>
      <c r="C967" s="108"/>
      <c r="D967" s="108"/>
      <c r="E967" s="108"/>
      <c r="F967" s="108"/>
      <c r="G967" s="108"/>
    </row>
    <row r="968" spans="1:7">
      <c r="A968" s="27"/>
      <c r="B968" s="108"/>
      <c r="C968" s="108"/>
      <c r="D968" s="108"/>
      <c r="E968" s="108"/>
      <c r="F968" s="108"/>
      <c r="G968" s="108"/>
    </row>
    <row r="969" spans="1:7">
      <c r="A969" s="27"/>
      <c r="B969" s="108"/>
      <c r="C969" s="108"/>
      <c r="D969" s="108"/>
      <c r="E969" s="108"/>
      <c r="F969" s="108"/>
      <c r="G969" s="108"/>
    </row>
    <row r="970" spans="1:7">
      <c r="A970" s="27"/>
      <c r="B970" s="108"/>
      <c r="C970" s="108"/>
      <c r="D970" s="108"/>
      <c r="E970" s="108"/>
      <c r="F970" s="108"/>
      <c r="G970" s="108"/>
    </row>
    <row r="971" spans="1:7">
      <c r="A971" s="27"/>
      <c r="B971" s="108"/>
      <c r="C971" s="108"/>
      <c r="D971" s="108"/>
      <c r="E971" s="108"/>
      <c r="F971" s="108"/>
      <c r="G971" s="108"/>
    </row>
    <row r="972" spans="1:7">
      <c r="A972" s="27"/>
      <c r="B972" s="108"/>
      <c r="C972" s="108"/>
      <c r="D972" s="108"/>
      <c r="E972" s="108"/>
      <c r="F972" s="108"/>
      <c r="G972" s="108"/>
    </row>
    <row r="973" spans="1:7">
      <c r="A973" s="27"/>
      <c r="B973" s="108"/>
      <c r="C973" s="108"/>
      <c r="D973" s="108"/>
      <c r="E973" s="108"/>
      <c r="F973" s="108"/>
      <c r="G973" s="108"/>
    </row>
    <row r="974" spans="1:7">
      <c r="A974" s="27"/>
      <c r="B974" s="108"/>
      <c r="C974" s="108"/>
      <c r="D974" s="108"/>
      <c r="E974" s="108"/>
      <c r="F974" s="108"/>
      <c r="G974" s="108"/>
    </row>
    <row r="975" spans="1:7">
      <c r="A975" s="27"/>
      <c r="B975" s="108"/>
      <c r="C975" s="108"/>
      <c r="D975" s="108"/>
      <c r="E975" s="108"/>
      <c r="F975" s="108"/>
      <c r="G975" s="108"/>
    </row>
    <row r="976" spans="1:7">
      <c r="A976" s="27"/>
      <c r="B976" s="108"/>
      <c r="C976" s="108"/>
      <c r="D976" s="108"/>
      <c r="E976" s="108"/>
      <c r="F976" s="108"/>
      <c r="G976" s="108"/>
    </row>
    <row r="977" spans="1:7">
      <c r="A977" s="27"/>
      <c r="B977" s="108"/>
      <c r="C977" s="108"/>
      <c r="D977" s="108"/>
      <c r="E977" s="108"/>
      <c r="F977" s="108"/>
      <c r="G977" s="108"/>
    </row>
    <row r="978" spans="1:7">
      <c r="A978" s="27"/>
      <c r="B978" s="108"/>
      <c r="C978" s="108"/>
      <c r="D978" s="108"/>
      <c r="E978" s="108"/>
      <c r="F978" s="108"/>
      <c r="G978" s="108"/>
    </row>
    <row r="979" spans="1:7">
      <c r="A979" s="27"/>
      <c r="B979" s="108"/>
      <c r="C979" s="108"/>
      <c r="D979" s="108"/>
      <c r="E979" s="108"/>
      <c r="F979" s="108"/>
      <c r="G979" s="108"/>
    </row>
    <row r="980" spans="1:7">
      <c r="A980" s="27"/>
      <c r="B980" s="108"/>
      <c r="C980" s="108"/>
      <c r="D980" s="108"/>
      <c r="E980" s="108"/>
      <c r="F980" s="108"/>
      <c r="G980" s="108"/>
    </row>
    <row r="981" spans="1:7">
      <c r="A981" s="27"/>
      <c r="B981" s="108"/>
      <c r="C981" s="108"/>
      <c r="D981" s="108"/>
      <c r="E981" s="108"/>
      <c r="F981" s="108"/>
      <c r="G981" s="108"/>
    </row>
    <row r="982" spans="1:7">
      <c r="A982" s="27"/>
      <c r="B982" s="108"/>
      <c r="C982" s="108"/>
      <c r="D982" s="108"/>
      <c r="E982" s="108"/>
      <c r="F982" s="108"/>
      <c r="G982" s="108"/>
    </row>
    <row r="983" spans="1:7">
      <c r="A983" s="27"/>
      <c r="B983" s="108"/>
      <c r="C983" s="108"/>
      <c r="D983" s="108"/>
      <c r="E983" s="108"/>
      <c r="F983" s="108"/>
      <c r="G983" s="108"/>
    </row>
    <row r="984" spans="1:7">
      <c r="A984" s="27"/>
      <c r="B984" s="108"/>
      <c r="C984" s="108"/>
      <c r="D984" s="108"/>
      <c r="E984" s="108"/>
      <c r="F984" s="108"/>
      <c r="G984" s="108"/>
    </row>
    <row r="985" spans="1:7">
      <c r="A985" s="27"/>
      <c r="B985" s="108"/>
      <c r="C985" s="108"/>
      <c r="D985" s="108"/>
      <c r="E985" s="108"/>
      <c r="F985" s="108"/>
      <c r="G985" s="108"/>
    </row>
    <row r="986" spans="1:7">
      <c r="A986" s="27"/>
      <c r="B986" s="108"/>
      <c r="C986" s="108"/>
      <c r="D986" s="108"/>
      <c r="E986" s="108"/>
      <c r="F986" s="108"/>
      <c r="G986" s="108"/>
    </row>
    <row r="987" spans="1:7">
      <c r="A987" s="27"/>
      <c r="B987" s="108"/>
      <c r="C987" s="108"/>
      <c r="D987" s="108"/>
      <c r="E987" s="108"/>
      <c r="F987" s="108"/>
      <c r="G987" s="108"/>
    </row>
    <row r="988" spans="1:7">
      <c r="A988" s="27"/>
      <c r="B988" s="108"/>
      <c r="C988" s="108"/>
      <c r="D988" s="108"/>
      <c r="E988" s="108"/>
      <c r="F988" s="108"/>
      <c r="G988" s="108"/>
    </row>
    <row r="989" spans="1:7">
      <c r="A989" s="27"/>
      <c r="B989" s="108"/>
      <c r="C989" s="108"/>
      <c r="D989" s="108"/>
      <c r="E989" s="108"/>
      <c r="F989" s="108"/>
      <c r="G989" s="108"/>
    </row>
    <row r="990" spans="1:7">
      <c r="A990" s="27"/>
      <c r="B990" s="108"/>
      <c r="C990" s="108"/>
      <c r="D990" s="108"/>
      <c r="E990" s="108"/>
      <c r="F990" s="108"/>
      <c r="G990" s="108"/>
    </row>
    <row r="991" spans="1:7">
      <c r="A991" s="27"/>
      <c r="B991" s="108"/>
      <c r="C991" s="108"/>
      <c r="D991" s="108"/>
      <c r="E991" s="108"/>
      <c r="F991" s="108"/>
      <c r="G991" s="108"/>
    </row>
    <row r="992" spans="1:7">
      <c r="A992" s="27"/>
      <c r="B992" s="108"/>
      <c r="C992" s="108"/>
      <c r="D992" s="108"/>
      <c r="E992" s="108"/>
      <c r="F992" s="108"/>
      <c r="G992" s="108"/>
    </row>
    <row r="993" spans="1:7">
      <c r="A993" s="27"/>
      <c r="B993" s="108"/>
      <c r="C993" s="108"/>
      <c r="D993" s="108"/>
      <c r="E993" s="108"/>
      <c r="F993" s="108"/>
      <c r="G993" s="108"/>
    </row>
    <row r="994" spans="1:7">
      <c r="A994" s="27"/>
      <c r="B994" s="108"/>
      <c r="C994" s="108"/>
      <c r="D994" s="108"/>
      <c r="E994" s="108"/>
      <c r="F994" s="108"/>
      <c r="G994" s="108"/>
    </row>
    <row r="995" spans="1:7">
      <c r="A995" s="27"/>
      <c r="B995" s="108"/>
      <c r="C995" s="108"/>
      <c r="D995" s="108"/>
      <c r="E995" s="108"/>
      <c r="F995" s="108"/>
      <c r="G995" s="108"/>
    </row>
    <row r="996" spans="1:7">
      <c r="A996" s="27"/>
      <c r="B996" s="108"/>
      <c r="C996" s="108"/>
      <c r="D996" s="108"/>
      <c r="E996" s="108"/>
      <c r="F996" s="108"/>
      <c r="G996" s="108"/>
    </row>
    <row r="997" spans="1:7">
      <c r="A997" s="27"/>
      <c r="B997" s="108"/>
      <c r="C997" s="108"/>
      <c r="D997" s="108"/>
      <c r="E997" s="108"/>
      <c r="F997" s="108"/>
      <c r="G997" s="108"/>
    </row>
    <row r="998" spans="1:7">
      <c r="A998" s="27"/>
      <c r="B998" s="108"/>
      <c r="C998" s="108"/>
      <c r="D998" s="108"/>
      <c r="E998" s="108"/>
      <c r="F998" s="108"/>
      <c r="G998" s="108"/>
    </row>
    <row r="999" spans="1:7">
      <c r="A999" s="27"/>
      <c r="B999" s="108"/>
      <c r="C999" s="108"/>
      <c r="D999" s="108"/>
      <c r="E999" s="108"/>
      <c r="F999" s="108"/>
      <c r="G999" s="108"/>
    </row>
    <row r="1000" spans="1:7">
      <c r="A1000" s="27"/>
      <c r="B1000" s="108"/>
      <c r="C1000" s="108"/>
      <c r="D1000" s="108"/>
      <c r="E1000" s="108"/>
      <c r="F1000" s="108"/>
      <c r="G1000" s="10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CEE9-24A2-4E39-8A49-76ADDF5A6EDE}">
  <dimension ref="B2:D3"/>
  <sheetViews>
    <sheetView workbookViewId="0">
      <selection activeCell="D3" sqref="D3"/>
    </sheetView>
  </sheetViews>
  <sheetFormatPr defaultRowHeight="14.5"/>
  <sheetData>
    <row r="2" spans="2:4">
      <c r="D2" t="s">
        <v>685</v>
      </c>
    </row>
    <row r="3" spans="2:4">
      <c r="B3" t="s">
        <v>683</v>
      </c>
      <c r="C3">
        <v>2024</v>
      </c>
      <c r="D3" t="s">
        <v>684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Database</vt:lpstr>
      <vt:lpstr>数透</vt:lpstr>
      <vt:lpstr>brand list</vt:lpstr>
      <vt:lpstr>Parameters</vt:lpstr>
      <vt:lpstr>Coverage</vt:lpstr>
      <vt:lpstr>1.1 Revenue</vt:lpstr>
      <vt:lpstr>361度财报深度分析</vt:lpstr>
      <vt:lpstr>安踏财报深度分析</vt:lpstr>
      <vt:lpstr>Quote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CICI</cp:lastModifiedBy>
  <dcterms:created xsi:type="dcterms:W3CDTF">2026-06-03T09:16:12Z</dcterms:created>
  <dcterms:modified xsi:type="dcterms:W3CDTF">2026-06-12T04:01:16Z</dcterms:modified>
</cp:coreProperties>
</file>